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verCraft" sheetId="1" r:id="rId5"/>
    <sheet state="visible" name="Open Source" sheetId="2" r:id="rId6"/>
  </sheets>
  <definedNames/>
  <calcPr/>
</workbook>
</file>

<file path=xl/sharedStrings.xml><?xml version="1.0" encoding="utf-8"?>
<sst xmlns="http://schemas.openxmlformats.org/spreadsheetml/2006/main" count="121" uniqueCount="91">
  <si>
    <t>Part</t>
  </si>
  <si>
    <t>Link</t>
  </si>
  <si>
    <t>Unit Cost</t>
  </si>
  <si>
    <t># Required</t>
  </si>
  <si>
    <t>Cost Per Kit</t>
  </si>
  <si>
    <t>3D Printing Filament</t>
  </si>
  <si>
    <t>https://www.amazon.com/SUNLU-PLA-Printer-Filament-1-75mm/dp/B07XG3RM58/ref=pd_lpo_d_sccl_3/147-6584189-1758902?pd_rd_w=D0XjM&amp;content-id=amzn1.sym.4c8c52db-06f8-4e42-8e56-912796f2ea6c&amp;pf_rd_p=4c8c52db-06f8-4e42-8e56-912796f2ea6c&amp;pf_rd_r=H602SHAZ3Z0MZJSJQ6BF&amp;pd_rd_wg=ioLT7&amp;pd_rd_r=159f68ab-a477-4a8f-8d89-3e03abfded8e&amp;pd_rd_i=B0CN119CHL&amp;th=1</t>
  </si>
  <si>
    <t>Notes</t>
  </si>
  <si>
    <t>Lift Blower</t>
  </si>
  <si>
    <t>https://www.alibaba.com/product-detail/Original-Delta-24V-48V-DC12V-3_1600601197316.html?spm=a2700.prosearch.normal_offer.d_title.334c67aftwwA66&amp;selectedCarrierCode=SEMI_MANAGED_STANDARD%40%40STANDARD&amp;priceId=1cb0db946d3b4bf99a03378afc6367bd</t>
  </si>
  <si>
    <t>*Requires Purchase in units of 1</t>
  </si>
  <si>
    <t>https://www.alibaba.com/product-detail/New-and-Original-12CM-12V-3_1601692839070.html?spm=a2700.prosearch.normal_offer.d_title.2b4067afXZ6OlV&amp;priceId=60343d763bef4a22a8ea49daca76e9a7</t>
  </si>
  <si>
    <t>Thrust Fan</t>
  </si>
  <si>
    <t>https://www.alibaba.com/product-detail/12038-PFB1224UHE-DC-24V-2-40A_1601252105071.html?spm=a2700.prosearch.normal_offer.d_title.4c5567afNFgbJP&amp;selectedCarrierCode=SEMI_MANAGED_STANDARD%40%40STANDARD&amp;priceId=3f67e5b636a142e6b81375247b0e394d</t>
  </si>
  <si>
    <t>Potentiometer</t>
  </si>
  <si>
    <t>https://www.amazon.com/Electronics-Salon-Wirewound-Potentiometer-Rheostat-Resistor/dp/B012S8Q2AI/ref=sr_1_3?dib=eyJ2IjoiMSJ9.Sms397VTtfaT1gs-DaPufts2JBwjBqX8hJMRASiv-1VcvccUZaGJ5M2XzXTq06Djw4sfkhWKLGjm74MMdzFn58db4uVtKEPeIgK-nH8Mp566O-lFYTV_ItSqXELf4LrbPgKu0GqYXAkSMdR-i37897OgztzUW6nbYnFFxHa7sIC--ns1VyAjYIHiPySRzSp7z3cEnYOJvtT8Rn4NliVcNiqbCr5_9tTjqYmB-_BTQ9Q.zix9lBx71dbRM-mtqdOHmzU61BpUWolce_2L2muDqnU&amp;dib_tag=se&amp;keywords=electronics+saloon+potentiometer&amp;qid=1789354555&amp;sr=8-3&amp;th=1</t>
  </si>
  <si>
    <t xml:space="preserve">Custom Potentiometer PCB </t>
  </si>
  <si>
    <t>tektitebiz.com</t>
  </si>
  <si>
    <t>XT30 Connector Pair (2 Female)</t>
  </si>
  <si>
    <t>https://www.amazon.com/Acxetx-Connector-Silicone-Adapter-Battery/dp/B0GXVZ2QT3/ref=sr_1_1_sspa?crid=3MH4871FLSQYV&amp;dib=eyJ2IjoiMSJ9.8eWCSc9mIS6LQmgla-iNmcWIEUiXba1054cnpLMSe4m5aU3_V1AWVz6r4HVzDFXo9okVThDcgn5CABCiYmyriRPFY_T9EHjvmjzNq-whSXj1g7YJJVTLAIEgAYlK1nSO8HT_AbZZqMx7fJGj7lRP9Zsny3hXKT6v4x6dapkpoSbqgwhQgSAVbFjscbyiBLHfeJkLyx8Wwqmt_41ExSunUXy7PUl8cfdqQuu8W4L-JJey9SQKmAP9JFln_Ez4iEmE_6qwYaxYq0q2z_b-Ydx8lvcdgL03Rjy0lP6GYwaNjWw.PRkg6shXIrP50R8zs-J2pVQVQ86WFHs29GseXw8YpTM&amp;dib_tag=se&amp;keywords=xt30&amp;qid=1787083414&amp;s=toys-and-games&amp;sprefix=xt30%2Ctoys-and-games%2C255&amp;sr=1-1-spons&amp;sp_csd=d2lkZ2V0TmFtZT1zcF9hdGY&amp;psc=1</t>
  </si>
  <si>
    <t>20AWG Wire (Red+Black)</t>
  </si>
  <si>
    <t>amazon.com/NAOEVO-Conductors-Electrical-Extension-Automotive/dp/B0DG1SB9P6/ref=sr_1_3_sspa?channelId=500&amp;clpRedir=Y&amp;dib=eyJ2IjoiMSJ9.uKCE4oYimAKkqrzlWoiOUjFnZgbWKcAYkKPaGlzhvm2jhto7brf-ofpDxEABovkQU2HkQulbv8EqvmAlj9rDKG35A0dOJNP2Vg8-tK2nIhP4KimFmdjq3ZpM11SMk5-Uz8-8_O8Wu2L42H_mP2HkZeXkM_ER3I3Pz7a9TFO-hxl46f4LsEwlmdDBPKreXFYXMecdGXG1k1m1jK2rHzjxp2aIOfK_vKuqGBX6evqN1FN7Hj5KmgW4pvK0icrajLwhHxq6tOOwPzM5SM2y2xgs6ukG6sqtKyz0fML9UkIwLkc.sZZhWSSYIjFYnlYQDzcdoHe8DUA3oT4i5C3R2o7TXWU&amp;dib_tag=se&amp;keywords=20+awg+wire&amp;plpRedirect=mhFallback&amp;qid=1789354682&amp;sr=8-3-spons&amp;sp_csd=d2lkZ2V0TmFtZT1zcF9hdGY&amp;psc=1</t>
  </si>
  <si>
    <t>16 AWG Crimp Connector</t>
  </si>
  <si>
    <t>https://www.amazon.com/Neprift-40PCS-16-14-Shrink-Connectors/dp/B0GWQ69WJK/ref=sr_1_2?dib=eyJ2IjoiMSJ9.BriSJIimGSZN_wLIl_AdnIC9raAQoPJnPyQzLp08aHi6tP6jXZ1ZD5nPwv7FpsfiX6kYf-1wAn7Ei7omfcywz-ArO-N1ob5_QqG0VGUCI1loDONGgMb34MIp5eMFT75s-Yhw8XUlplSmmO9IyPEAmr1bH0juPBMIHxdbTUGTTxOkBqVnTtLhRIEPh8pcKSfqgSCIqPcHOi8k1lsoSR9bPljSZ5dHBkqIHiHtwpxhIhE.Ca_31FYdiGXwf_67MoF-MlTz1wp-DG8yG7WArP2mw-Y&amp;dib_tag=se&amp;keywords=16-14%2BAWG%2Badhesive%2Blined%2Bheat%2Bshrink%2Bbutt%2Bconnectors&amp;nsdOptOutParam=true&amp;qid=1786829078&amp;sr=8-2&amp;utm_source=chatgpt.com&amp;th=1</t>
  </si>
  <si>
    <t>*Requires Purchase in units of 1/50</t>
  </si>
  <si>
    <t>XT60 Connector Pair (2 Female)</t>
  </si>
  <si>
    <t>Fan Grilles</t>
  </si>
  <si>
    <t>https://www.amazon.com/OliYin-Female-JST-PH2-0-Adapter-Conversion/dp/B0FGQ145LB/ref=sims_dp_d_dex_ai_rank_model_1_d_v1_d_sccl_1_5/130-1581277-9880217?pd_rd_w=mk7yo&amp;content-id=amzn1.sym.bb4a0aac-c2b4-4b4b-a0c8-9aa89b28dce3&amp;pf_rd_p=bb4a0aac-c2b4-4b4b-a0c8-9aa89b28dce3&amp;pf_rd_r=YVPFGNYKK0RC0QTT98CY&amp;pd_rd_wg=4Q4b2&amp;pd_rd_r=c58de0b6-fa72-42d0-ba41-67cb3e2004d1&amp;pd_rd_i=B0FGQ145LB&amp;psc=1</t>
  </si>
  <si>
    <t>https://www.amazon.com/dp/B0G4RXYQPY/ref=sspa_dk_detail_3?pd_rd_i=B0G4RXYQPY&amp;pd_rd_w=pWDOH&amp;content-id=amzn1.sym.17345c9b-ef8c-4a79-bcd9-8894b1e1e0ea&amp;pf_rd_p=17345c9b-ef8c-4a79-bcd9-8894b1e1e0ea&amp;pf_rd_r=KG0W69607HB5KPHEKX44&amp;pd_rd_wg=pwYDz&amp;pd_rd_r=8898214f-a95b-4bc7-8d47-98d455f3d4c6&amp;sp_csd=d2lkZ2V0TmFtZT1zcF9kZXRhaWw&amp;th=1</t>
  </si>
  <si>
    <t>50mm M3 Hex Button Head Screws + M3 Nut</t>
  </si>
  <si>
    <t>*Requires Purchase in units of 2.5</t>
  </si>
  <si>
    <t>https://www.amazon.com/100Pcs-Socket-Screws-Threads-Spanner/dp/B0FS1Q2JQZ/ref=sr_1_7?crid=1V68B441P80FF&amp;dib=eyJ2IjoiMSJ9.tHN-UVlRbZlQohX5RfVy5swptYnfXHvrqsoKNVRlOxaAHV1Dc2WRhQTuS6DgYGxfZyN5m5H46oqvFzXd0KxxPmHS7ZMWnxlOuxGNekwv2vXmQILeytO5YO_eDnOwsjYmAcbTkPcjEhHIX5sqv821b2M-TR8CtY8XB6w7aqRDQlaXwgbqXe677FSPs9R_NHbpJZBsS9Fxw55TKM3gpNVkODBMZbqmhVx-eGdTlIzDox7aiJ64qVaTPjGaTFk1C77j4aG5P5gMA4i-ycrgzcfnrRah5ND-0AofWVvC6CM3DJ0.EsScjXas9-Y2o0E7LoAgkdCO-XNr2acv8g6QnTJg_Lc&amp;dib_tag=se&amp;keywords=M3%2Bx%2B50mm%2Bphillips&amp;qid=1782914273&amp;s=hi&amp;sprefix=m3%2Bx%2B50mm%2Bphillip%2Ctools%2C103&amp;sr=1-7&amp;th=1</t>
  </si>
  <si>
    <t>22 AWG Crimp Connector</t>
  </si>
  <si>
    <t>https://www.amazon.com/22-16-Connectors-AWG-Waterproof-Electrical/dp/B0GK1XNFM3/ref=sr_1_1_sspa?crid=30XQ0WVRH1CJG&amp;dib=eyJ2IjoiMSJ9.pITbupEe37z9W2uYm6mj1J0Z1Vk5U5A0mC9ZoNSN25MlZHgPo2UyIAJ7sfTkS6CddBleKu-DwlrFGasAcOyw3srALqYF44jEmNhLpr98NEVnk0QmYcSyNg_JRowvP-MVApFhYSI9HOxZ5dYBWH-lXifOhLZq5jP6FzRkbD6UEuB4UqKE_3J31dU3WBkN4qTn2XVdCU59H35NLpCuSd7d1IEVJzCQc2nYpAsiop9sYCc.iu57nJqPsWM7X6oAzZeEnVgfaq9JNFZI88DvRLeGctA&amp;dib_tag=se&amp;keywords=22%2BAWG%2Badhesive%2Blined%2Bheat%2Bshrink%2Bbutt%2Bconnectors&amp;qid=1787194978&amp;sprefix=22%2Bawg%2Badhesive%2Blined%2Bheat%2Bshrink%2Bbutt%2Bconnectors%2Caps%2C185&amp;sr=8-1-spons&amp;sp_csd=d2lkZ2V0TmFtZT1zcF9hdGY&amp;th=1</t>
  </si>
  <si>
    <t>Trash bag</t>
  </si>
  <si>
    <t>amazon.com/Micron-Gallon-Tear-Resistant-Bathroom-Kitchen/dp/B0DNFL6T5G/ref=sr_1_6?crid=2WBJ29DH3WVKU&amp;dib=eyJ2IjoiMSJ9.P3r_h_e8V9G1DDcpl-AjqJryZIfHMh1roZZnl6Loyw4Ru3nG-gGlbzE6qvG7roLw0G_H0Gs5-xuA9bySy2mWZEZRpdLmSIM8np1_M9vENeOTvY7IrbX4fvFGB8jhhTrm91yAGTLOsrar87xMC_fRcxbOT8VINiv-gplT45RrV2RmIw83V6SG2K4bd0zTnEj1fld2XONkMBVSMY29Bpehqnkn54MlpW3HdhuSn_c1gY3r4s2Uwjso3zEBhUY4d0ZZ61gbfWb3-sbzEwo7VqXc-2p9pgVQfkZbu7FoLD5m-QM.cwjoWm8gPXqq-ivZst4N89eOW1bwhtRf94b6CEoUOMg&amp;dib_tag=se&amp;keywords=trash+bag+heavy+duty+small&amp;qid=1782590553&amp;sprefix=trash+bag+heavy+duty+small%2Caps%2C138&amp;sr=8-6</t>
  </si>
  <si>
    <t>*Requires Purchase in units of 1/20</t>
  </si>
  <si>
    <t>Shipping Boxes</t>
  </si>
  <si>
    <t>https://www.amazon.com/Boxery-5x5x5-Corrugated-Shipping-Boxes/dp/B075GWMZZS/ref=sr_1_2_sspa?crid=2Z720V2I5GKXZ&amp;dib=eyJ2IjoiMSJ9.n1ytfwYtORas5ekras2aPgTP2ln-RlDD3iiS1ioiTOok5SA_npNsNDLjCcy4sJG2nYu-3DNt9BPboVHJD-RAznKVqHRZ_cjt7hngPfjs8k9tPJZ_fve6kyKGVeA5uR8dJJ_GcRnsbvSIGIpkHv4rvr594nZwOkkoqq_VI7qlTNBPuPfl0kBPn3983irWA04ci5N_ACMlxVFwc4UwlgtW2yY114Ij-iX2sggnqYyKT7ihbHVlZh5a8OutU_Y1m7ayuNeAvDIPeuEyJijYIlyacSPDU0D06Ks-ez6gXTF3wcQ.08FNNmwZjlIclU-ZbS2RBYVzNsOHh7lav8qmFvuM3ok&amp;dib_tag=se&amp;keywords=5%2Bx%2B5%2Bx%2B5%2Bshipping%2BBoxes&amp;qid=1787101586&amp;sprefix=5%2Bx%2B5%2Bx%2B5%2Bshipping%2Bboxes%2Caps%2C125&amp;sr=8-2-spons&amp;sp_csd=d2lkZ2V0TmFtZT1zcF9hdGY&amp;th=1</t>
  </si>
  <si>
    <t>1/4" Wooden Dowel</t>
  </si>
  <si>
    <t>amazon.com/Dtmasao-Dowel-Rods-Sticks-Wooden/dp/B0BXT3KM69/ref=sr_1_1_sspa?dib=eyJ2IjoiMSJ9.Ir2Ql0U9oTd5fgizUYXWh60Bk6Kkc7pkkGZe0xmBBQqDor3YaCZQhl3EPSEGUSZ2MyZOmaWuGKwt80UVu7Z4uAxOiELm1TOpZWaUf23_MuJEvqqOusqjj3Y7fBSrcCvM3JT-hTeo-sEfYWslr6y3_cNuym7ILmEFS145wwwltV4UCcOgwG1jAxwVC4p51X_Ic8uyECFEmTkh8KfQTcVh4SBEzgpznU1yXpVT7UcGK6x6tUU2cbEXak0OaQHX0BUAjMPR7rLg-FaaHeYU7kcxK9YGNYRikr2POz4q7cex0pI.k0AMpY18OaTDr3jWf4V3MEha7zC28QlAmKUSgyb_cQM&amp;dib_tag=se&amp;keywords=wooden+dowels+1%2F4+inch&amp;qid=1782617997&amp;sr=8-1-spons&amp;sp_csd=d2lkZ2V0TmFtZT1zcF9hdGY&amp;psc=1</t>
  </si>
  <si>
    <t>1 box</t>
  </si>
  <si>
    <t>*Requires Purchase in units of 1/25</t>
  </si>
  <si>
    <t>Packing Tape</t>
  </si>
  <si>
    <t>https://www.amazon.com/Scotch-Shipping-Packaging-Dispenser-142-6/dp/B000J07BRQ/ref=pd_bxgy_d_sccl_1/147-6584189-1758902?pd_rd_w=2pk0A&amp;content-id=amzn1.sym.9bef5913-5870-4504-8883-3ba89d7f8e39&amp;pf_rd_p=9bef5913-5870-4504-8883-3ba89d7f8e39&amp;pf_rd_r=5W7HF9XK9CFCPH16FAT5&amp;pd_rd_wg=cnWF4&amp;pd_rd_r=efee9a8c-33eb-4023-a065-95a87e8b46fa&amp;pd_rd_i=B000J07BRQ&amp;psc=1</t>
  </si>
  <si>
    <t xml:space="preserve">2x 12V 2000mAh Battery </t>
  </si>
  <si>
    <t>https://www.amazon.com/dp/B09LX94XM7/ref=twister_B09RLRXSJ6?_encoding=UTF8&amp;th=1</t>
  </si>
  <si>
    <t>2 ft</t>
  </si>
  <si>
    <t>*Requires Purchase in units of 1/30</t>
  </si>
  <si>
    <t>Bubble Wrap</t>
  </si>
  <si>
    <t>12V NiMh Charger (XT30 - Get Charge3B!)</t>
  </si>
  <si>
    <t>https://www.amazon.com/Amazon-Basics-Perforated-Cushioning-12-Inch/dp/B07S1JPBL3/ref=sr_1_2_ffob_sspa?crid=2MD7QCN8KB8B0&amp;dib=eyJ2IjoiMSJ9.EVmqhZn7g-w9S5P1zZojDBQkZzGDlCBldpbswiCRj3oxNC59QCHHH8DUbVnOheLXMJkDO7_GslJhKCFDDoUN0n2-hzSKAGoiiXIls_N50beUkKMqii8y5YKdq7vfQysVwB4pESFqRdLyymmxLVMubgV6X-cyKsppYoYaSP8lMfGR2RZ5Ih_BkuqYpg2g13DFUrBZaHTmG6vd5SATbKIC-lSWa4r4HQIuF9qOt95OYLF7FHQLYKhJMfNexU614TBlFIQholUML4To57Ik52BOzT78Wk-ICtIBiUlQjJm84Yo.LICo1hgODnQMlvtPU29-buNDIfKCmJh9xGNGaX9xnfc&amp;dib_tag=se&amp;keywords=bubble%2Bwrap&amp;qid=1782796992&amp;sprefix=bubble%2Bwrap%2Caps%2C133&amp;sr=8-2-spons&amp;sp_csd=d2lkZ2V0TmFtZT1zcF9hdGY&amp;th=1</t>
  </si>
  <si>
    <t>https://tektitebiz.com/product/charge-3b/</t>
  </si>
  <si>
    <t>H2.0 Allen Key/Screwdriver</t>
  </si>
  <si>
    <t>https://www.amazon.com/Precision-Screwdriver-Magnetic-Electronic-Computer/dp/B0CCTNX9GY/ref=sr_1_2?crid=23MAVZZ1LZCYX&amp;dib=eyJ2IjoiMSJ9.T76j0d0EpgoEHFImy1SlCxkccgkTN252hSkrfwIk4Gn07w1bhfExRKe54bi7126fCpgdVIC3V8egG2OtVnGNB_U8zThu9jr9femojeoVEqFy-C9xzS8-s7mUcqZnuuuNl3e-8I81mnlaGNj8F6prYhXxh2ZODqO6pxQS7fnilYf5eqaMOKBIz0Wn2e9hm_OW5XQ8P3EUPt3Ol4ViPAAgzOsaNsmPar1p7Ip3gEyaaz7pFeS71WHnyasugY35gm9Dm_0LXD2svgY0o101kRhYlvhhOZKvlNuOpxunuQ7wQOk.MDZl_8Hxhry_TDdGyKvtlyg4SPIVPA0_Rr1Wpeonic4&amp;dib_tag=se&amp;keywords=screwdriver%2Bh2.0%2BH4.0&amp;qid=1782769315&amp;sprefix=screwdriver%2Bh2.0%2Bh4.0%2Caps%2C121&amp;sr=8-2&amp;th=1</t>
  </si>
  <si>
    <t>1 ft</t>
  </si>
  <si>
    <t>*Requires Purchase in units of 1/40.</t>
  </si>
  <si>
    <t>Tariff + Postal Cost</t>
  </si>
  <si>
    <t>https://poboxes.usps.com/findBox.html?q=19808</t>
  </si>
  <si>
    <t>Heat Gun or a Lighter (Some source of heat)</t>
  </si>
  <si>
    <t>https://www.amazon.com/SEEKONE-Dual-Temp-842%E2%84%89%EF%BC%88260%E2%84%83-Protection-Tubing%EF%BC%884-9FT%EF%BC%89/dp/B0DQGPG595/ref=sr_1_19?crid=105X5MSOQ3XAI&amp;dib=eyJ2IjoiMSJ9.nOAOwPg6sN2hVO_W0iItsA4mwy7iCVoi54Td3ofZgSh64Vn9C0t8g5zlmUqkb-BYrzUUTVmF2dzfYBlOLl00GcaijUtT1lC0i1piuGyok9FozqhCS4Y5EPMrVF8gJBnleTQ3GAvYBxK4wZ2_0egBKYNSzmiCsTJqlp-S6WQV9DbZtjkivILAyOl51FJ109F_QfcgQbcc-XQaB5ALk4WnNhPYu_mj_FMoATIGXmI3JgT6CEr4XcfcjSgbJ8txIlrJryKdyE5DhHM9ZQ5vIt9hRxFGn37PktikAS0jnBGhpdM.1a0NpZTDKBh2PMM3le-18wZBTXVXbgF5rr90-pWPQvI&amp;dib_tag=se&amp;keywords=heat%2Bgun&amp;qid=1786829303&amp;sprefix=heat%2Bgun%2Caps%2C157&amp;sr=8-19&amp;th=1</t>
  </si>
  <si>
    <t>*Employee Discretion</t>
  </si>
  <si>
    <t>Labor + Shipping Margins</t>
  </si>
  <si>
    <t>Wire Strippers / Crimp Tool</t>
  </si>
  <si>
    <t>https://www.amazon.com/ANGELSWORD-Stripper-Crimping-Crimper-Multi-Function/dp/B0DYP7CFZZ/ref=sr_1_1_sspa?crid=3LQYNUU4887IM&amp;dib=eyJ2IjoiMSJ9.3s25cFWOlDGBp_Cc5bsnhlITTegEQcX6ntokN9_FZRL3H4kgaoropHkoxMVokNNVPn3u_KfFQ3GHZVdOM8f5iurtBr15IKFnz4yFzIiJjUqfcbVWn7Evw3UDETvAy5uTG_Y_Fchf1SvHIOeh2TSTMkQuaJJiO-aUJPhdtJAokYN7-Nfp02U0CRWZgA6tjf_CV03SMU3_LSPPphLg-a_DjG9lArpKvLiJNKL7vuEPhXon9-qVG5LcUXgvqpaZcJc2nR3MqLdWWBae4HAo4QStVDyL6a7JKBcZw1fpAJuLImM.QOPbPm436RVoGP0SPKyJPxgifv1-je9PEYWlcNZHLxM&amp;dib_tag=se&amp;keywords=crimper&amp;qid=1782791965&amp;sprefix=crimpe%2Caps%2C158&amp;sr=8-1-spons&amp;sp_csd=d2lkZ2V0TmFtZT1zcF9hdGY&amp;psc=1</t>
  </si>
  <si>
    <t>*Money :(</t>
  </si>
  <si>
    <t>Scissors / Knife</t>
  </si>
  <si>
    <t>https://www.amazon.com/OLFA-5009-LB-10B-Snap-Off-Heavy/dp/B000LEAC58/ref=pd_sbs_d_sccl_1_2/147-6584189-1758902?pd_rd_w=7tYLB&amp;content-id=amzn1.sym.aa738fbd-ad05-4d11-aae2-04b598db6305&amp;pf_rd_p=aa738fbd-ad05-4d11-aae2-04b598db6305&amp;pf_rd_r=62ZQBYQ9J5BKVQY06FDN&amp;pd_rd_wg=aqO7x&amp;pd_rd_r=0950df6b-c857-433f-935b-9146af69733a&amp;pd_rd_i=B000LEAC58&amp;psc=1</t>
  </si>
  <si>
    <t>Total:</t>
  </si>
  <si>
    <t>Stopwatch</t>
  </si>
  <si>
    <t>amazon.com/Kingl-Digital-Stopwatch-Timer-Interval/dp/B07RTXYFMN/ref=sr_1_3?crid=2WU3QT7FWQR5T&amp;dib=eyJ2IjoiMSJ9.nhZge-CdSVeEEMUSjCWHNtwqkNbrEAGdvGVcVP6ivwr6wju6k1qJ9D9Vm2us6BQESw9kke-a1hXpUGfoySgnRS_rnzQE2yP72eWRYs86NK7Vltw4okXIrp4Dw1SKC2LaAzfgqiB3fDcZIw4MqVZqk5P-Vwkep4zdYIaohcbdnLTlVgLOvqDIjFnaoJU4gQbbbM5kmxaF-f25dKFt4gy5WE-QMmx-qR26ZdbpeHBF3h4.9DRzOW7L3Yh-wodafFPr9--xVQNH1hJFZkG0hiJB-u4&amp;dib_tag=se&amp;keywords=stopwatch&amp;qid=1782799960&amp;sprefix=stopwatch%2Caps%2C149&amp;sr=8-3</t>
  </si>
  <si>
    <t>Batch Size: 20</t>
  </si>
  <si>
    <t>Required Tools (Not provided):</t>
  </si>
  <si>
    <t>Recommended Options</t>
  </si>
  <si>
    <t xml:space="preserve">Scotch Tape </t>
  </si>
  <si>
    <t>https://www.amazon.com/Scotch-Magic-Tape-Inch-Count/dp/B01C5IHGJW/ref=sr_1_1?crid=3RPLVEDTPHJU8&amp;dib=eyJ2IjoiMSJ9.n0SOUw_MDrwHrQ8d_x53dH1R_TOI4d9Dm1r5f1vDc0Sp05SBqAx9NX0zrhwNlpE7UCqyO10tzgkPatC8yEusJto0e91-GETQb4jqffq_pVIUUODiPIdJf9z2EWxtkJeGEomH7E3QNxPcvuDLSqnrLfCZfo2ihyXxDgXvhRydLVTHhdlj5T9C7gUuwJWXhc0MwadgYQC5okpuC1xxW1RyBZZqpZFXcVerCeYZG0hgIiU0k8SHeAijBUq0OcHRHv9Mfg2zLANE6ujLQn8uqvEg8hIXew1rPoerKD4cJms2b1s.6RuSG6ajeoEI13iVjvTe10HyU_TCE2VQBNifvWAdeXk&amp;dib_tag=se&amp;keywords=scotch+tape&amp;qid=1782769381&amp;sprefix=scotch+tap%2Caps%2C142&amp;sr=8-1</t>
  </si>
  <si>
    <t>Lasers (2x)</t>
  </si>
  <si>
    <t>https://www.amazon.com/LECPECON-Red-Dot-Tactical-Picatinny/dp/B0F6T88LNP/ref=sr_1_19?dib=eyJ2IjoiMSJ9.ZB6ZzxzPlP_GPZQzwioZ4uwNB_ymZok4jgjS7Bzjv9M8KcE90JqwFu3b-e5GHaezG9-N3OAxoXX69yqVTCFj2Z8H67mSDY-C0NB6cUo6qVYcprzvflmD_2fHGKfKGKxETbzVmn7JEE6GOG02ESv9FKnqx5fJD35q49vWU3ICTHRR8iQVekv_2kKiEu0io23SPtQAfomx_BRHQ5wXRZitrLLNWPiyKnz3UImN8Puek-EVlED2yi6LbKFxCheVS9XVI32VlzNTvw1fLCEiekBi-vn4oynDCG_Bs_ePnR7TX3s.e7RwktmiPJiz7rUdka8ABTRkVOz5CyNF9TTvU3u4WbM&amp;dib_tag=se&amp;keywords=picatinny%2Brail%2Blaser&amp;qid=1782799460&amp;refinements=p_36%3A-2000&amp;rnid=386589011&amp;sr=8-19&amp;th=1</t>
  </si>
  <si>
    <t>Something Sharp, Like a Push Pin</t>
  </si>
  <si>
    <t>https://www.amazon.com/Tacks-Clear-Plastic-Bulletin-Hangings/dp/B0DP6CVKLJ/ref=sr_1_4_sspa?crid=1ZKV7UGY7UE0Y&amp;dib=eyJ2IjoiMSJ9.0fRJkKCHnYuMiJ6jrwFxIqvG_LWaZ3hARe7ZuleFB1uZS19cNI0M1RYShyZ-dRhUUZVBVQRxkxU0UsnR2oP7UCIeAYtzKBtKD3Ou7B_2Ndhpza4a3ylVae-g-YywRst2AOejZlS1Uer8CJtNSuTEaPTqy3UcqyaM5aWNF8bjg8NGRyR4XdyXbwS-DwIxByV3Zq69jNrTPiilNr8K0-6yAWWqnNuyRIR_NDJmMaJI5SksbfbJTZsTZKc24DvaCL0RK8_td6g3FgclM6tcmOkekh99s_cXpo02x9ezYuCSOuY.9AZIA5vJ-CvX9ZioZQ4ug-fDi3_ERwj52W1J_2r5dNI&amp;dib_tag=se&amp;keywords=push%2Bpin&amp;qid=1786829390&amp;sprefix=push%2Bpin%2Caps%2C172&amp;sr=8-4-spons&amp;sp_csd=d2lkZ2V0TmFtZT1zcF9hdGY&amp;th=1</t>
  </si>
  <si>
    <t>4 Rolls, 1 Half Roll, 20 Loose Nickels (5 rolls total)</t>
  </si>
  <si>
    <t>Da banc</t>
  </si>
  <si>
    <t>CAD Files</t>
  </si>
  <si>
    <t>https://drive.google.com/drive/folders/1Zlij1VqTt4rb6HWMeoiN9mt7w78jxAwb</t>
  </si>
  <si>
    <t>2x 12V 2000mAh Battery                                                 (One of these two, not an FTC battery!)</t>
  </si>
  <si>
    <t>https://www.amazon.com/YUTSUJO-2-Pack-2000mAh-Ni-MH-Battery/dp/B0D5MFVSRN/ref=sr_1_1_sspa?crid=37QO6QY79L8U8&amp;dib=eyJ2IjoiMSJ9.bkt2pGTxFrypTWjBtoHKn6NCyu7KRkVDFIu4OCn7ZSoj8UhshUsY4X2LJhAVDMmQYuQZ8mhLa7g4edGXWX198VxRoM_0ZpCN3i7Mium7LjIyiSY2hEtzX8FHjHf0z7mMlXKSpVxloMZwrmph3nUJa7BVFQWUy4XI9lVt-DnC955BKW35b-qEXVMgQyub5gLfSaccGc33vqzPGqUEGanwVFUDq8qxYiK0adyoKPMB8gCr5aUTupLC62-zTZJyEZ7FlJE-mGbDwFBXR1AZEV-Y4ibVKVWrjCZAQoWWnzu0Hi4.89D0PuxUh_OkHpGcnn1XyYX_SD8PC1Az_309cn1GSi4&amp;dib_tag=se&amp;keywords=12V%2Bnimh&amp;qid=1786064713&amp;sprefix=tenergy%2B12v%2Bnimh%2Caps%2C300&amp;sr=8-1-spons&amp;sp_csd=d2lkZ2V0TmFtZT1zcF9hdGY&amp;psc=1</t>
  </si>
  <si>
    <t>3D Printer (Minimum 250x250 build plate)</t>
  </si>
  <si>
    <t>https://us.store.bambulab.com/products/a1?from=navigation&amp;id=579550514255634444</t>
  </si>
  <si>
    <t>Fan Specs</t>
  </si>
  <si>
    <t>https://www.digikey.com/en/products/detail/sanyo-denki-america-inc/9BFB12P2H003/6192088</t>
  </si>
  <si>
    <t>https://www.digikey.com/en/products/detail/delta-electronics/PFB1212UHE/2560583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</si>
</sst>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  <name val="Roboto"/>
    </font>
    <font>
      <u/>
      <color rgb="FF0000FF"/>
      <name val="Roboto"/>
    </font>
    <font>
      <sz val="11.0"/>
      <color rgb="FF434343"/>
      <name val="Roboto"/>
    </font>
    <font>
      <u/>
      <sz val="11.0"/>
      <color rgb="FF0000FF"/>
      <name val="Roboto"/>
    </font>
    <font>
      <u/>
      <sz val="11.0"/>
      <color rgb="FF0000FF"/>
      <name val="Roboto"/>
    </font>
    <font>
      <u/>
      <color rgb="FF0000FF"/>
      <name val="Roboto"/>
    </font>
    <font>
      <u/>
      <color rgb="FF0000FF"/>
      <name val="Roboto"/>
    </font>
    <font>
      <b/>
      <color theme="1"/>
      <name val="Arial"/>
      <scheme val="minor"/>
    </font>
    <font>
      <b/>
      <color theme="1"/>
      <name val="Arial"/>
    </font>
    <font/>
    <font>
      <u/>
      <color rgb="FF0000FF"/>
    </font>
    <font>
      <u/>
      <color rgb="FF0000FF"/>
      <name val="Arial"/>
    </font>
    <font>
      <u/>
      <color rgb="FF0000FF"/>
    </font>
    <font>
      <b/>
      <u/>
      <color rgb="FF0000FF"/>
      <name val="Arial"/>
    </font>
    <font>
      <u/>
      <color rgb="FF0000FF"/>
    </font>
    <font>
      <color rgb="FF0000FF"/>
      <name val="Arial"/>
    </font>
    <font>
      <u/>
      <color rgb="FF0000FF"/>
      <name val="Roboto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2" fontId="5" numFmtId="0" xfId="0" applyAlignment="1" applyBorder="1" applyFill="1" applyFont="1">
      <alignment horizontal="center" shrinkToFit="0" vertical="center" wrapText="0"/>
    </xf>
    <xf borderId="1" fillId="2" fontId="6" numFmtId="0" xfId="0" applyAlignment="1" applyBorder="1" applyFill="1" applyFont="1">
      <alignment shrinkToFit="0" vertical="center" wrapText="0"/>
    </xf>
    <xf borderId="1" fillId="2" fontId="5" numFmtId="164" xfId="0" applyAlignment="1" applyBorder="1" applyFill="1" applyFont="1" applyNumberFormat="1">
      <alignment horizontal="center" shrinkToFit="0" vertical="center" wrapText="0"/>
    </xf>
    <xf borderId="1" fillId="2" fontId="5" numFmtId="0" xfId="0" applyAlignment="1" applyBorder="1" applyFill="1" applyFont="1">
      <alignment horizontal="center" shrinkToFit="0" vertical="center" wrapText="0"/>
    </xf>
    <xf borderId="1" fillId="2" fontId="5" numFmtId="0" xfId="0" applyAlignment="1" applyBorder="1" applyFill="1" applyFont="1">
      <alignment horizontal="center" readingOrder="0" shrinkToFit="0" vertical="center" wrapText="0"/>
    </xf>
    <xf borderId="1" fillId="2" fontId="7" numFmtId="0" xfId="0" applyAlignment="1" applyBorder="1" applyFill="1" applyFont="1">
      <alignment readingOrder="0" shrinkToFit="0" vertical="center" wrapText="0"/>
    </xf>
    <xf borderId="1" fillId="2" fontId="5" numFmtId="164" xfId="0" applyAlignment="1" applyBorder="1" applyFill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3" fontId="8" numFmtId="0" xfId="0" applyAlignment="1" applyBorder="1" applyFill="1" applyFont="1">
      <alignment horizontal="left" readingOrder="0" shrinkToFit="0" vertical="center" wrapText="0"/>
    </xf>
    <xf borderId="1" fillId="3" fontId="1" numFmtId="0" xfId="0" applyAlignment="1" applyBorder="1" applyFill="1" applyFont="1">
      <alignment horizontal="center" readingOrder="0" shrinkToFit="0" vertical="center" wrapText="0"/>
    </xf>
    <xf borderId="1" fillId="3" fontId="9" numFmtId="0" xfId="0" applyAlignment="1" applyBorder="1" applyFill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164" xfId="0" applyAlignment="1" applyBorder="1" applyFont="1" applyNumberFormat="1">
      <alignment horizontal="center" shrinkToFit="0" vertical="center" wrapText="0"/>
    </xf>
    <xf borderId="1" fillId="0" fontId="1" numFmtId="0" xfId="0" applyAlignment="1" applyBorder="1" applyFont="1">
      <alignment horizontal="right" readingOrder="0" shrinkToFit="0" vertical="center" wrapText="0"/>
    </xf>
    <xf borderId="1" fillId="0" fontId="10" numFmtId="0" xfId="0" applyAlignment="1" applyBorder="1" applyFont="1">
      <alignment horizontal="center" shrinkToFit="0" vertical="center" wrapText="0"/>
    </xf>
    <xf borderId="1" fillId="3" fontId="10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shrinkToFit="0" vertical="center" wrapText="0"/>
    </xf>
    <xf borderId="2" fillId="3" fontId="11" numFmtId="164" xfId="0" applyAlignment="1" applyBorder="1" applyFill="1" applyFont="1" applyNumberFormat="1">
      <alignment horizontal="center" vertical="center"/>
    </xf>
    <xf borderId="3" fillId="0" fontId="12" numFmtId="0" xfId="0" applyBorder="1" applyFont="1"/>
    <xf borderId="4" fillId="0" fontId="12" numFmtId="0" xfId="0" applyBorder="1" applyFont="1"/>
    <xf borderId="1" fillId="3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shrinkToFit="0" vertical="center" wrapText="0"/>
    </xf>
    <xf borderId="1" fillId="3" fontId="13" numFmtId="0" xfId="0" applyAlignment="1" applyBorder="1" applyFill="1" applyFont="1">
      <alignment horizontal="left" readingOrder="0" shrinkToFit="0" vertical="center" wrapText="0"/>
    </xf>
    <xf borderId="5" fillId="0" fontId="12" numFmtId="0" xfId="0" applyBorder="1" applyFont="1"/>
    <xf borderId="6" fillId="2" fontId="12" numFmtId="0" xfId="0" applyBorder="1" applyFill="1" applyFont="1"/>
    <xf borderId="1" fillId="3" fontId="14" numFmtId="0" xfId="0" applyAlignment="1" applyBorder="1" applyFill="1" applyFont="1">
      <alignment shrinkToFit="0" vertical="center" wrapText="0"/>
    </xf>
    <xf borderId="1" fillId="3" fontId="15" numFmtId="0" xfId="0" applyAlignment="1" applyBorder="1" applyFill="1" applyFont="1">
      <alignment horizontal="left" readingOrder="0" shrinkToFit="0" vertical="center" wrapText="0"/>
    </xf>
    <xf borderId="6" fillId="3" fontId="12" numFmtId="0" xfId="0" applyBorder="1" applyFill="1" applyFont="1"/>
    <xf borderId="7" fillId="3" fontId="11" numFmtId="0" xfId="0" applyAlignment="1" applyBorder="1" applyFill="1" applyFont="1">
      <alignment horizontal="center" readingOrder="0"/>
    </xf>
    <xf borderId="8" fillId="0" fontId="12" numFmtId="0" xfId="0" applyBorder="1" applyFont="1"/>
    <xf borderId="9" fillId="0" fontId="12" numFmtId="0" xfId="0" applyBorder="1" applyFont="1"/>
    <xf borderId="7" fillId="3" fontId="16" numFmtId="0" xfId="0" applyAlignment="1" applyBorder="1" applyFill="1" applyFont="1">
      <alignment horizontal="center" readingOrder="0"/>
    </xf>
    <xf borderId="10" fillId="3" fontId="1" numFmtId="0" xfId="0" applyAlignment="1" applyBorder="1" applyFill="1" applyFont="1">
      <alignment horizontal="center" readingOrder="0" shrinkToFit="0" vertical="center" wrapText="1"/>
    </xf>
    <xf borderId="11" fillId="0" fontId="12" numFmtId="0" xfId="0" applyBorder="1" applyFont="1"/>
    <xf borderId="1" fillId="3" fontId="17" numFmtId="0" xfId="0" applyAlignment="1" applyBorder="1" applyFill="1" applyFont="1">
      <alignment horizontal="left" readingOrder="0" vertical="center"/>
    </xf>
    <xf borderId="1" fillId="3" fontId="1" numFmtId="0" xfId="0" applyAlignment="1" applyBorder="1" applyFill="1" applyFont="1">
      <alignment horizontal="center" readingOrder="0" shrinkToFit="0" vertical="center" wrapText="0"/>
    </xf>
    <xf borderId="2" fillId="3" fontId="11" numFmtId="0" xfId="0" applyAlignment="1" applyBorder="1" applyFill="1" applyFont="1">
      <alignment horizontal="center" readingOrder="0" vertical="center"/>
    </xf>
    <xf borderId="12" fillId="0" fontId="12" numFmtId="0" xfId="0" applyBorder="1" applyFont="1"/>
    <xf borderId="13" fillId="0" fontId="12" numFmtId="0" xfId="0" applyBorder="1" applyFont="1"/>
    <xf borderId="7" fillId="3" fontId="18" numFmtId="0" xfId="0" applyAlignment="1" applyBorder="1" applyFill="1" applyFont="1">
      <alignment horizontal="center" readingOrder="0"/>
    </xf>
    <xf borderId="12" fillId="2" fontId="12" numFmtId="0" xfId="0" applyBorder="1" applyFill="1" applyFont="1"/>
    <xf borderId="7" fillId="3" fontId="19" numFmtId="0" xfId="0" applyAlignment="1" applyBorder="1" applyFill="1" applyFont="1">
      <alignment horizontal="center" readingOrder="0" shrinkToFit="0" vertical="bottom" wrapText="0"/>
    </xf>
    <xf borderId="7" fillId="3" fontId="20" numFmtId="0" xfId="0" applyAlignment="1" applyBorder="1" applyFill="1" applyFont="1">
      <alignment horizontal="center" readingOrder="0" shrinkToFit="0" vertical="bottom" wrapText="0"/>
    </xf>
    <xf borderId="14" fillId="0" fontId="12" numFmtId="0" xfId="0" applyBorder="1" applyFont="1"/>
    <xf borderId="13" fillId="2" fontId="12" numFmtId="0" xfId="0" applyBorder="1" applyFill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2D5E3"/>
          <bgColor rgb="FFD2D5E3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2">
    <tableStyle count="5" pivot="0" name="HoverCraft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Open Source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F13" displayName="HC_BOM" name="HC_BOM" id="1">
  <tableColumns count="6">
    <tableColumn name="Part" id="1"/>
    <tableColumn name="Link" id="2"/>
    <tableColumn totalsRowFunction="custom" name="Unit Cost" id="3"/>
    <tableColumn totalsRowLabel="Total:" name="# Required" id="4"/>
    <tableColumn totalsRowFunction="custom" name="Cost Per Kit" id="5"/>
    <tableColumn totalsRowLabel="Batch Size: 20" name="Notes" id="6"/>
  </tableColumns>
  <tableStyleInfo name="HoverCraft-style" showColumnStripes="0" showFirstColumn="1" showLastColumn="1" showRowStripes="1"/>
</table>
</file>

<file path=xl/tables/table2.xml><?xml version="1.0" encoding="utf-8"?>
<table xmlns="http://schemas.openxmlformats.org/spreadsheetml/2006/main" ref="A1:E22" displayName="HC_BOM_2" name="HC_BOM_2" id="2">
  <tableColumns count="5">
    <tableColumn name="Part" id="1"/>
    <tableColumn name="Link" id="2"/>
    <tableColumn name="Unit Cost" id="3"/>
    <tableColumn name="# Required" id="4"/>
    <tableColumn name="Cost Per Kit" id="5"/>
  </tableColumns>
  <tableStyleInfo name="Open Sour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Scotch-Magic-Tape-Inch-Count/dp/B01C5IHGJW/ref=sr_1_1?crid=3RPLVEDTPHJU8&amp;dib=eyJ2IjoiMSJ9.n0SOUw_MDrwHrQ8d_x53dH1R_TOI4d9Dm1r5f1vDc0Sp05SBqAx9NX0zrhwNlpE7UCqyO10tzgkPatC8yEusJto0e91-GETQb4jqffq_pVIUUODiPIdJf9z2EWxtkJeGEomH7E3QNxPcvuDLSqnrLfCZfo2ihyXxDgXvhRydLVTHhdlj5T9C7gUuwJWXhc0MwadgYQC5okpuC1xxW1RyBZZqpZFXcVerCeYZG0hgIiU0k8SHeAijBUq0OcHRHv9Mfg2zLANE6ujLQn8uqvEg8hIXew1rPoerKD4cJms2b1s.6RuSG6ajeoEI13iVjvTe10HyU_TCE2VQBNifvWAdeXk&amp;dib_tag=se&amp;keywords=scotch+tape&amp;qid=1782769381&amp;sprefix=scotch+tap%2Caps%2C142&amp;sr=8-1" TargetMode="External"/><Relationship Id="rId22" Type="http://schemas.openxmlformats.org/officeDocument/2006/relationships/hyperlink" Target="https://drive.google.com/drive/folders/1Zlij1VqTt4rb6HWMeoiN9mt7w78jxAwb" TargetMode="External"/><Relationship Id="rId21" Type="http://schemas.openxmlformats.org/officeDocument/2006/relationships/hyperlink" Target="https://us.store.bambulab.com/products/a1?from=navigation&amp;id=579550514255634444" TargetMode="External"/><Relationship Id="rId24" Type="http://schemas.openxmlformats.org/officeDocument/2006/relationships/hyperlink" Target="https://www.digikey.com/en/products/detail/delta-electronics/PFB1212UHE/2560583" TargetMode="External"/><Relationship Id="rId23" Type="http://schemas.openxmlformats.org/officeDocument/2006/relationships/hyperlink" Target="https://www.digikey.com/en/products/detail/sanyo-denki-america-inc/9BFB12P2H003/6192088" TargetMode="External"/><Relationship Id="rId1" Type="http://schemas.openxmlformats.org/officeDocument/2006/relationships/hyperlink" Target="https://www.alibaba.com/product-detail/Original-Delta-24V-48V-DC12V-3_1600601197316.html?spm=a2700.prosearch.normal_offer.d_title.334c67aftwwA66&amp;selectedCarrierCode=SEMI_MANAGED_STANDARD%40%40STANDARD&amp;priceId=1cb0db946d3b4bf99a03378afc6367bd" TargetMode="External"/><Relationship Id="rId2" Type="http://schemas.openxmlformats.org/officeDocument/2006/relationships/hyperlink" Target="https://www.alibaba.com/product-detail/12038-PFB1224UHE-DC-24V-2-40A_1601252105071.html?spm=a2700.prosearch.normal_offer.d_title.4c5567afNFgbJP&amp;selectedCarrierCode=SEMI_MANAGED_STANDARD%40%40STANDARD&amp;priceId=3f67e5b636a142e6b81375247b0e394d" TargetMode="External"/><Relationship Id="rId3" Type="http://schemas.openxmlformats.org/officeDocument/2006/relationships/hyperlink" Target="https://www.amazon.com/Electronics-Salon-Wirewound-Potentiometer-Rheostat-Resistor/dp/B012S8Q2AI/ref=sr_1_3?dib=eyJ2IjoiMSJ9.Sms397VTtfaT1gs-DaPufts2JBwjBqX8hJMRASiv-1VcvccUZaGJ5M2XzXTq06Djw4sfkhWKLGjm74MMdzFn58db4uVtKEPeIgK-nH8Mp566O-lFYTV_ItSqXELf4LrbPgKu0GqYXAkSMdR-i37897OgztzUW6nbYnFFxHa7sIC--ns1VyAjYIHiPySRzSp7z3cEnYOJvtT8Rn4NliVcNiqbCr5_9tTjqYmB-_BTQ9Q.zix9lBx71dbRM-mtqdOHmzU61BpUWolce_2L2muDqnU&amp;dib_tag=se&amp;keywords=electronics+saloon+potentiometer&amp;qid=1789354555&amp;sr=8-3&amp;th=1" TargetMode="External"/><Relationship Id="rId4" Type="http://schemas.openxmlformats.org/officeDocument/2006/relationships/hyperlink" Target="http://amazon.com/NAOEVO-Conductors-Electrical-Extension-Automotive/dp/B0DG1SB9P6/ref=sr_1_3_sspa?channelId=500&amp;clpRedir=Y&amp;dib=eyJ2IjoiMSJ9.uKCE4oYimAKkqrzlWoiOUjFnZgbWKcAYkKPaGlzhvm2jhto7brf-ofpDxEABovkQU2HkQulbv8EqvmAlj9rDKG35A0dOJNP2Vg8-tK2nIhP4KimFmdjq3ZpM11SMk5-Uz8-8_O8Wu2L42H_mP2HkZeXkM_ER3I3Pz7a9TFO-hxl46f4LsEwlmdDBPKreXFYXMecdGXG1k1m1jK2rHzjxp2aIOfK_vKuqGBX6evqN1FN7Hj5KmgW4pvK0icrajLwhHxq6tOOwPzM5SM2y2xgs6ukG6sqtKyz0fML9UkIwLkc.sZZhWSSYIjFYnlYQDzcdoHe8DUA3oT4i5C3R2o7TXWU&amp;dib_tag=se&amp;keywords=20+awg+wire&amp;plpRedirect=mhFallback&amp;qid=1789354682&amp;sr=8-3-spons&amp;sp_csd=d2lkZ2V0TmFtZT1zcF9hdGY&amp;psc=1" TargetMode="External"/><Relationship Id="rId9" Type="http://schemas.openxmlformats.org/officeDocument/2006/relationships/hyperlink" Target="https://www.amazon.com/Amazon-Basics-Perforated-Cushioning-12-Inch/dp/B07S1JPBL3/ref=sr_1_2_ffob_sspa?crid=2MD7QCN8KB8B0&amp;dib=eyJ2IjoiMSJ9.EVmqhZn7g-w9S5P1zZojDBQkZzGDlCBldpbswiCRj3oxNC59QCHHH8DUbVnOheLXMJkDO7_GslJhKCFDDoUN0n2-hzSKAGoiiXIls_N50beUkKMqii8y5YKdq7vfQysVwB4pESFqRdLyymmxLVMubgV6X-cyKsppYoYaSP8lMfGR2RZ5Ih_BkuqYpg2g13DFUrBZaHTmG6vd5SATbKIC-lSWa4r4HQIuF9qOt95OYLF7FHQLYKhJMfNexU614TBlFIQholUML4To57Ik52BOzT78Wk-ICtIBiUlQjJm84Yo.LICo1hgODnQMlvtPU29-buNDIfKCmJh9xGNGaX9xnfc&amp;dib_tag=se&amp;keywords=bubble%2Bwrap&amp;qid=1782796992&amp;sprefix=bubble%2Bwrap%2Caps%2C133&amp;sr=8-2-spons&amp;sp_csd=d2lkZ2V0TmFtZT1zcF9hdGY&amp;th=1" TargetMode="External"/><Relationship Id="rId25" Type="http://schemas.openxmlformats.org/officeDocument/2006/relationships/drawing" Target="../drawings/drawing1.xml"/><Relationship Id="rId27" Type="http://schemas.openxmlformats.org/officeDocument/2006/relationships/table" Target="../tables/table1.xml"/><Relationship Id="rId5" Type="http://schemas.openxmlformats.org/officeDocument/2006/relationships/hyperlink" Target="https://www.amazon.com/OliYin-Female-JST-PH2-0-Adapter-Conversion/dp/B0FGQ145LB/ref=sims_dp_d_dex_ai_rank_model_1_d_v1_d_sccl_1_5/130-1581277-9880217?pd_rd_w=mk7yo&amp;content-id=amzn1.sym.bb4a0aac-c2b4-4b4b-a0c8-9aa89b28dce3&amp;pf_rd_p=bb4a0aac-c2b4-4b4b-a0c8-9aa89b28dce3&amp;pf_rd_r=YVPFGNYKK0RC0QTT98CY&amp;pd_rd_wg=4Q4b2&amp;pd_rd_r=c58de0b6-fa72-42d0-ba41-67cb3e2004d1&amp;pd_rd_i=B0FGQ145LB&amp;psc=1" TargetMode="External"/><Relationship Id="rId6" Type="http://schemas.openxmlformats.org/officeDocument/2006/relationships/hyperlink" Target="https://www.amazon.com/22-16-Connectors-AWG-Waterproof-Electrical/dp/B0GK1XNFM3/ref=sr_1_1_sspa?crid=30XQ0WVRH1CJG&amp;dib=eyJ2IjoiMSJ9.pITbupEe37z9W2uYm6mj1J0Z1Vk5U5A0mC9ZoNSN25MlZHgPo2UyIAJ7sfTkS6CddBleKu-DwlrFGasAcOyw3srALqYF44jEmNhLpr98NEVnk0QmYcSyNg_JRowvP-MVApFhYSI9HOxZ5dYBWH-lXifOhLZq5jP6FzRkbD6UEuB4UqKE_3J31dU3WBkN4qTn2XVdCU59H35NLpCuSd7d1IEVJzCQc2nYpAsiop9sYCc.iu57nJqPsWM7X6oAzZeEnVgfaq9JNFZI88DvRLeGctA&amp;dib_tag=se&amp;keywords=22%2BAWG%2Badhesive%2Blined%2Bheat%2Bshrink%2Bbutt%2Bconnectors&amp;qid=1787194978&amp;sprefix=22%2Bawg%2Badhesive%2Blined%2Bheat%2Bshrink%2Bbutt%2Bconnectors%2Caps%2C185&amp;sr=8-1-spons&amp;sp_csd=d2lkZ2V0TmFtZT1zcF9hdGY&amp;th=1" TargetMode="External"/><Relationship Id="rId7" Type="http://schemas.openxmlformats.org/officeDocument/2006/relationships/hyperlink" Target="https://www.amazon.com/Boxery-5x5x5-Corrugated-Shipping-Boxes/dp/B075GWMZZS/ref=sr_1_2_sspa?crid=2Z720V2I5GKXZ&amp;dib=eyJ2IjoiMSJ9.n1ytfwYtORas5ekras2aPgTP2ln-RlDD3iiS1ioiTOok5SA_npNsNDLjCcy4sJG2nYu-3DNt9BPboVHJD-RAznKVqHRZ_cjt7hngPfjs8k9tPJZ_fve6kyKGVeA5uR8dJJ_GcRnsbvSIGIpkHv4rvr594nZwOkkoqq_VI7qlTNBPuPfl0kBPn3983irWA04ci5N_ACMlxVFwc4UwlgtW2yY114Ij-iX2sggnqYyKT7ihbHVlZh5a8OutU_Y1m7ayuNeAvDIPeuEyJijYIlyacSPDU0D06Ks-ez6gXTF3wcQ.08FNNmwZjlIclU-ZbS2RBYVzNsOHh7lav8qmFvuM3ok&amp;dib_tag=se&amp;keywords=5%2Bx%2B5%2Bx%2B5%2Bshipping%2BBoxes&amp;qid=1787101586&amp;sprefix=5%2Bx%2B5%2Bx%2B5%2Bshipping%2Bboxes%2Caps%2C125&amp;sr=8-2-spons&amp;sp_csd=d2lkZ2V0TmFtZT1zcF9hdGY&amp;th=1" TargetMode="External"/><Relationship Id="rId8" Type="http://schemas.openxmlformats.org/officeDocument/2006/relationships/hyperlink" Target="https://www.amazon.com/Scotch-Shipping-Packaging-Dispenser-142-6/dp/B000J07BRQ/ref=pd_bxgy_d_sccl_1/147-6584189-1758902?pd_rd_w=2pk0A&amp;content-id=amzn1.sym.9bef5913-5870-4504-8883-3ba89d7f8e39&amp;pf_rd_p=9bef5913-5870-4504-8883-3ba89d7f8e39&amp;pf_rd_r=5W7HF9XK9CFCPH16FAT5&amp;pd_rd_wg=cnWF4&amp;pd_rd_r=efee9a8c-33eb-4023-a065-95a87e8b46fa&amp;pd_rd_i=B000J07BRQ&amp;psc=1" TargetMode="External"/><Relationship Id="rId11" Type="http://schemas.openxmlformats.org/officeDocument/2006/relationships/hyperlink" Target="http://tektitebiz.com/" TargetMode="External"/><Relationship Id="rId10" Type="http://schemas.openxmlformats.org/officeDocument/2006/relationships/hyperlink" Target="https://poboxes.usps.com/findBox.html?q=19808" TargetMode="External"/><Relationship Id="rId13" Type="http://schemas.openxmlformats.org/officeDocument/2006/relationships/hyperlink" Target="https://www.amazon.com/SEEKONE-Dual-Temp-842%E2%84%89%EF%BC%88260%E2%84%83-Protection-Tubing%EF%BC%884-9FT%EF%BC%89/dp/B0DQGPG595/ref=sr_1_19?crid=105X5MSOQ3XAI&amp;dib=eyJ2IjoiMSJ9.nOAOwPg6sN2hVO_W0iItsA4mwy7iCVoi54Td3ofZgSh64Vn9C0t8g5zlmUqkb-BYrzUUTVmF2dzfYBlOLl00GcaijUtT1lC0i1piuGyok9FozqhCS4Y5EPMrVF8gJBnleTQ3GAvYBxK4wZ2_0egBKYNSzmiCsTJqlp-S6WQV9DbZtjkivILAyOl51FJ109F_QfcgQbcc-XQaB5ALk4WnNhPYu_mj_FMoATIGXmI3JgT6CEr4XcfcjSgbJ8txIlrJryKdyE5DhHM9ZQ5vIt9hRxFGn37PktikAS0jnBGhpdM.1a0NpZTDKBh2PMM3le-18wZBTXVXbgF5rr90-pWPQvI&amp;dib_tag=se&amp;keywords=heat%2Bgun&amp;qid=1786829303&amp;sprefix=heat%2Bgun%2Caps%2C157&amp;sr=8-19&amp;th=1" TargetMode="External"/><Relationship Id="rId12" Type="http://schemas.openxmlformats.org/officeDocument/2006/relationships/hyperlink" Target="https://www.amazon.com/Precision-Screwdriver-Magnetic-Electronic-Computer/dp/B0CCTNX9GY/ref=sr_1_2?crid=23MAVZZ1LZCYX&amp;dib=eyJ2IjoiMSJ9.T76j0d0EpgoEHFImy1SlCxkccgkTN252hSkrfwIk4Gn07w1bhfExRKe54bi7126fCpgdVIC3V8egG2OtVnGNB_U8zThu9jr9femojeoVEqFy-C9xzS8-s7mUcqZnuuuNl3e-8I81mnlaGNj8F6prYhXxh2ZODqO6pxQS7fnilYf5eqaMOKBIz0Wn2e9hm_OW5XQ8P3EUPt3Ol4ViPAAgzOsaNsmPar1p7Ip3gEyaaz7pFeS71WHnyasugY35gm9Dm_0LXD2svgY0o101kRhYlvhhOZKvlNuOpxunuQ7wQOk.MDZl_8Hxhry_TDdGyKvtlyg4SPIVPA0_Rr1Wpeonic4&amp;dib_tag=se&amp;keywords=screwdriver%2Bh2.0%2BH4.0&amp;qid=1782769315&amp;sprefix=screwdriver%2Bh2.0%2Bh4.0%2Caps%2C121&amp;sr=8-2&amp;th=1" TargetMode="External"/><Relationship Id="rId15" Type="http://schemas.openxmlformats.org/officeDocument/2006/relationships/hyperlink" Target="https://www.amazon.com/OLFA-5009-LB-10B-Snap-Off-Heavy/dp/B000LEAC58/ref=pd_sbs_d_sccl_1_2/147-6584189-1758902?pd_rd_w=7tYLB&amp;content-id=amzn1.sym.aa738fbd-ad05-4d11-aae2-04b598db6305&amp;pf_rd_p=aa738fbd-ad05-4d11-aae2-04b598db6305&amp;pf_rd_r=62ZQBYQ9J5BKVQY06FDN&amp;pd_rd_wg=aqO7x&amp;pd_rd_r=0950df6b-c857-433f-935b-9146af69733a&amp;pd_rd_i=B000LEAC58&amp;psc=1" TargetMode="External"/><Relationship Id="rId14" Type="http://schemas.openxmlformats.org/officeDocument/2006/relationships/hyperlink" Target="https://www.amazon.com/ANGELSWORD-Stripper-Crimping-Crimper-Multi-Function/dp/B0DYP7CFZZ/ref=sr_1_1_sspa?crid=3LQYNUU4887IM&amp;dib=eyJ2IjoiMSJ9.3s25cFWOlDGBp_Cc5bsnhlITTegEQcX6ntokN9_FZRL3H4kgaoropHkoxMVokNNVPn3u_KfFQ3GHZVdOM8f5iurtBr15IKFnz4yFzIiJjUqfcbVWn7Evw3UDETvAy5uTG_Y_Fchf1SvHIOeh2TSTMkQuaJJiO-aUJPhdtJAokYN7-Nfp02U0CRWZgA6tjf_CV03SMU3_LSPPphLg-a_DjG9lArpKvLiJNKL7vuEPhXon9-qVG5LcUXgvqpaZcJc2nR3MqLdWWBae4HAo4QStVDyL6a7JKBcZw1fpAJuLImM.QOPbPm436RVoGP0SPKyJPxgifv1-je9PEYWlcNZHLxM&amp;dib_tag=se&amp;keywords=crimper&amp;qid=1782791965&amp;sprefix=crimpe%2Caps%2C158&amp;sr=8-1-spons&amp;sp_csd=d2lkZ2V0TmFtZT1zcF9hdGY&amp;psc=1" TargetMode="External"/><Relationship Id="rId17" Type="http://schemas.openxmlformats.org/officeDocument/2006/relationships/hyperlink" Target="https://www.amazon.com/dp/B09LX94XM7/ref=twister_B09RLRXSJ6?_encoding=UTF8&amp;th=1" TargetMode="External"/><Relationship Id="rId16" Type="http://schemas.openxmlformats.org/officeDocument/2006/relationships/hyperlink" Target="http://amazon.com/Kingl-Digital-Stopwatch-Timer-Interval/dp/B07RTXYFMN/ref=sr_1_3?crid=2WU3QT7FWQR5T&amp;dib=eyJ2IjoiMSJ9.nhZge-CdSVeEEMUSjCWHNtwqkNbrEAGdvGVcVP6ivwr6wju6k1qJ9D9Vm2us6BQESw9kke-a1hXpUGfoySgnRS_rnzQE2yP72eWRYs86NK7Vltw4okXIrp4Dw1SKC2LaAzfgqiB3fDcZIw4MqVZqk5P-Vwkep4zdYIaohcbdnLTlVgLOvqDIjFnaoJU4gQbbbM5kmxaF-f25dKFt4gy5WE-QMmx-qR26ZdbpeHBF3h4.9DRzOW7L3Yh-wodafFPr9--xVQNH1hJFZkG0hiJB-u4&amp;dib_tag=se&amp;keywords=stopwatch&amp;qid=1782799960&amp;sprefix=stopwatch%2Caps%2C149&amp;sr=8-3" TargetMode="External"/><Relationship Id="rId19" Type="http://schemas.openxmlformats.org/officeDocument/2006/relationships/hyperlink" Target="https://tektitebiz.com/product/charge-3b/" TargetMode="External"/><Relationship Id="rId18" Type="http://schemas.openxmlformats.org/officeDocument/2006/relationships/hyperlink" Target="https://www.amazon.com/YUTSUJO-2-Pack-2000mAh-Ni-MH-Battery/dp/B0D5MFVSRN/ref=sr_1_1_sspa?crid=37QO6QY79L8U8&amp;dib=eyJ2IjoiMSJ9.bkt2pGTxFrypTWjBtoHKn6NCyu7KRkVDFIu4OCn7ZSoj8UhshUsY4X2LJhAVDMmQYuQZ8mhLa7g4edGXWX198VxRoM_0ZpCN3i7Mium7LjIyiSY2hEtzX8FHjHf0z7mMlXKSpVxloMZwrmph3nUJa7BVFQWUy4XI9lVt-DnC955BKW35b-qEXVMgQyub5gLfSaccGc33vqzPGqUEGanwVFUDq8qxYiK0adyoKPMB8gCr5aUTupLC62-zTZJyEZ7FlJE-mGbDwFBXR1AZEV-Y4ibVKVWrjCZAQoWWnzu0Hi4.89D0PuxUh_OkHpGcnn1XyYX_SD8PC1Az_309cn1GSi4&amp;dib_tag=se&amp;keywords=12V%2Bnimh&amp;qid=1786064713&amp;sprefix=tenergy%2B12v%2Bnimh%2Caps%2C300&amp;sr=8-1-spons&amp;sp_csd=d2lkZ2V0TmFtZT1zcF9hdGY&amp;psc=1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Tacks-Clear-Plastic-Bulletin-Hangings/dp/B0DP6CVKLJ/ref=sr_1_4_sspa?crid=1ZKV7UGY7UE0Y&amp;dib=eyJ2IjoiMSJ9.0fRJkKCHnYuMiJ6jrwFxIqvG_LWaZ3hARe7ZuleFB1uZS19cNI0M1RYShyZ-dRhUUZVBVQRxkxU0UsnR2oP7UCIeAYtzKBtKD3Ou7B_2Ndhpza4a3ylVae-g-YywRst2AOejZlS1Uer8CJtNSuTEaPTqy3UcqyaM5aWNF8bjg8NGRyR4XdyXbwS-DwIxByV3Zq69jNrTPiilNr8K0-6yAWWqnNuyRIR_NDJmMaJI5SksbfbJTZsTZKc24DvaCL0RK8_td6g3FgclM6tcmOkekh99s_cXpo02x9ezYuCSOuY.9AZIA5vJ-CvX9ZioZQ4ug-fDi3_ERwj52W1J_2r5dNI&amp;dib_tag=se&amp;keywords=push%2Bpin&amp;qid=1786829390&amp;sprefix=push%2Bpin%2Caps%2C172&amp;sr=8-4-spons&amp;sp_csd=d2lkZ2V0TmFtZT1zcF9hdGY&amp;th=1" TargetMode="External"/><Relationship Id="rId22" Type="http://schemas.openxmlformats.org/officeDocument/2006/relationships/drawing" Target="../drawings/drawing2.xml"/><Relationship Id="rId21" Type="http://schemas.openxmlformats.org/officeDocument/2006/relationships/hyperlink" Target="https://drive.google.com/drive/folders/1Zlij1VqTt4rb6HWMeoiN9mt7w78jxAwb" TargetMode="External"/><Relationship Id="rId24" Type="http://schemas.openxmlformats.org/officeDocument/2006/relationships/table" Target="../tables/table2.xml"/><Relationship Id="rId1" Type="http://schemas.openxmlformats.org/officeDocument/2006/relationships/hyperlink" Target="https://www.amazon.com/SUNLU-PLA-Printer-Filament-1-75mm/dp/B07XG3RM58/ref=pd_lpo_d_sccl_3/147-6584189-1758902?pd_rd_w=D0XjM&amp;content-id=amzn1.sym.4c8c52db-06f8-4e42-8e56-912796f2ea6c&amp;pf_rd_p=4c8c52db-06f8-4e42-8e56-912796f2ea6c&amp;pf_rd_r=H602SHAZ3Z0MZJSJQ6BF&amp;pd_rd_wg=ioLT7&amp;pd_rd_r=159f68ab-a477-4a8f-8d89-3e03abfded8e&amp;pd_rd_i=B0CN119CHL&amp;th=1" TargetMode="External"/><Relationship Id="rId2" Type="http://schemas.openxmlformats.org/officeDocument/2006/relationships/hyperlink" Target="https://www.alibaba.com/product-detail/New-and-Original-12CM-12V-3_1601692839070.html?spm=a2700.prosearch.normal_offer.d_title.2b4067afXZ6OlV&amp;priceId=60343d763bef4a22a8ea49daca76e9a7" TargetMode="External"/><Relationship Id="rId3" Type="http://schemas.openxmlformats.org/officeDocument/2006/relationships/hyperlink" Target="https://www.alibaba.com/product-detail/12038-PFB1224UHE-DC-24V-2-40A_1601252105071.html?spm=a2700.prosearch.normal_offer.d_title.4c5567afNFgbJP&amp;selectedCarrierCode=SEMI_MANAGED_STANDARD%40%40STANDARD&amp;priceId=3f67e5b636a142e6b81375247b0e394d" TargetMode="External"/><Relationship Id="rId4" Type="http://schemas.openxmlformats.org/officeDocument/2006/relationships/hyperlink" Target="http://tektitebiz.com/" TargetMode="External"/><Relationship Id="rId9" Type="http://schemas.openxmlformats.org/officeDocument/2006/relationships/hyperlink" Target="http://amazon.com/Micron-Gallon-Tear-Resistant-Bathroom-Kitchen/dp/B0DNFL6T5G/ref=sr_1_6?crid=2WBJ29DH3WVKU&amp;dib=eyJ2IjoiMSJ9.P3r_h_e8V9G1DDcpl-AjqJryZIfHMh1roZZnl6Loyw4Ru3nG-gGlbzE6qvG7roLw0G_H0Gs5-xuA9bySy2mWZEZRpdLmSIM8np1_M9vENeOTvY7IrbX4fvFGB8jhhTrm91yAGTLOsrar87xMC_fRcxbOT8VINiv-gplT45RrV2RmIw83V6SG2K4bd0zTnEj1fld2XONkMBVSMY29Bpehqnkn54MlpW3HdhuSn_c1gY3r4s2Uwjso3zEBhUY4d0ZZ61gbfWb3-sbzEwo7VqXc-2p9pgVQfkZbu7FoLD5m-QM.cwjoWm8gPXqq-ivZst4N89eOW1bwhtRf94b6CEoUOMg&amp;dib_tag=se&amp;keywords=trash+bag+heavy+duty+small&amp;qid=1782590553&amp;sprefix=trash+bag+heavy+duty+small%2Caps%2C138&amp;sr=8-6" TargetMode="External"/><Relationship Id="rId5" Type="http://schemas.openxmlformats.org/officeDocument/2006/relationships/hyperlink" Target="https://www.amazon.com/Acxetx-Connector-Silicone-Adapter-Battery/dp/B0GXVZ2QT3/ref=sr_1_1_sspa?crid=3MH4871FLSQYV&amp;dib=eyJ2IjoiMSJ9.8eWCSc9mIS6LQmgla-iNmcWIEUiXba1054cnpLMSe4m5aU3_V1AWVz6r4HVzDFXo9okVThDcgn5CABCiYmyriRPFY_T9EHjvmjzNq-whSXj1g7YJJVTLAIEgAYlK1nSO8HT_AbZZqMx7fJGj7lRP9Zsny3hXKT6v4x6dapkpoSbqgwhQgSAVbFjscbyiBLHfeJkLyx8Wwqmt_41ExSunUXy7PUl8cfdqQuu8W4L-JJey9SQKmAP9JFln_Ez4iEmE_6qwYaxYq0q2z_b-Ydx8lvcdgL03Rjy0lP6GYwaNjWw.PRkg6shXIrP50R8zs-J2pVQVQ86WFHs29GseXw8YpTM&amp;dib_tag=se&amp;keywords=xt30&amp;qid=1787083414&amp;s=toys-and-games&amp;sprefix=xt30%2Ctoys-and-games%2C255&amp;sr=1-1-spons&amp;sp_csd=d2lkZ2V0TmFtZT1zcF9hdGY&amp;psc=1" TargetMode="External"/><Relationship Id="rId6" Type="http://schemas.openxmlformats.org/officeDocument/2006/relationships/hyperlink" Target="https://www.amazon.com/Neprift-40PCS-16-14-Shrink-Connectors/dp/B0GWQ69WJK/ref=sr_1_2?dib=eyJ2IjoiMSJ9.BriSJIimGSZN_wLIl_AdnIC9raAQoPJnPyQzLp08aHi6tP6jXZ1ZD5nPwv7FpsfiX6kYf-1wAn7Ei7omfcywz-ArO-N1ob5_QqG0VGUCI1loDONGgMb34MIp5eMFT75s-Yhw8XUlplSmmO9IyPEAmr1bH0juPBMIHxdbTUGTTxOkBqVnTtLhRIEPh8pcKSfqgSCIqPcHOi8k1lsoSR9bPljSZ5dHBkqIHiHtwpxhIhE.Ca_31FYdiGXwf_67MoF-MlTz1wp-DG8yG7WArP2mw-Y&amp;dib_tag=se&amp;keywords=16-14%2BAWG%2Badhesive%2Blined%2Bheat%2Bshrink%2Bbutt%2Bconnectors&amp;nsdOptOutParam=true&amp;qid=1786829078&amp;sr=8-2&amp;utm_source=chatgpt.com&amp;th=1" TargetMode="External"/><Relationship Id="rId7" Type="http://schemas.openxmlformats.org/officeDocument/2006/relationships/hyperlink" Target="https://www.amazon.com/dp/B0G4RXYQPY/ref=sspa_dk_detail_3?pd_rd_i=B0G4RXYQPY&amp;pd_rd_w=pWDOH&amp;content-id=amzn1.sym.17345c9b-ef8c-4a79-bcd9-8894b1e1e0ea&amp;pf_rd_p=17345c9b-ef8c-4a79-bcd9-8894b1e1e0ea&amp;pf_rd_r=KG0W69607HB5KPHEKX44&amp;pd_rd_wg=pwYDz&amp;pd_rd_r=8898214f-a95b-4bc7-8d47-98d455f3d4c6&amp;sp_csd=d2lkZ2V0TmFtZT1zcF9kZXRhaWw&amp;th=1" TargetMode="External"/><Relationship Id="rId8" Type="http://schemas.openxmlformats.org/officeDocument/2006/relationships/hyperlink" Target="https://www.amazon.com/100Pcs-Socket-Screws-Threads-Spanner/dp/B0FS1Q2JQZ/ref=sr_1_7?crid=1V68B441P80FF&amp;dib=eyJ2IjoiMSJ9.tHN-UVlRbZlQohX5RfVy5swptYnfXHvrqsoKNVRlOxaAHV1Dc2WRhQTuS6DgYGxfZyN5m5H46oqvFzXd0KxxPmHS7ZMWnxlOuxGNekwv2vXmQILeytO5YO_eDnOwsjYmAcbTkPcjEhHIX5sqv821b2M-TR8CtY8XB6w7aqRDQlaXwgbqXe677FSPs9R_NHbpJZBsS9Fxw55TKM3gpNVkODBMZbqmhVx-eGdTlIzDox7aiJ64qVaTPjGaTFk1C77j4aG5P5gMA4i-ycrgzcfnrRah5ND-0AofWVvC6CM3DJ0.EsScjXas9-Y2o0E7LoAgkdCO-XNr2acv8g6QnTJg_Lc&amp;dib_tag=se&amp;keywords=M3%2Bx%2B50mm%2Bphillips&amp;qid=1782914273&amp;s=hi&amp;sprefix=m3%2Bx%2B50mm%2Bphillip%2Ctools%2C103&amp;sr=1-7&amp;th=1" TargetMode="External"/><Relationship Id="rId11" Type="http://schemas.openxmlformats.org/officeDocument/2006/relationships/hyperlink" Target="https://www.amazon.com/dp/B09LX94XM7/ref=twister_B09RLRXSJ6?_encoding=UTF8&amp;th=1" TargetMode="External"/><Relationship Id="rId10" Type="http://schemas.openxmlformats.org/officeDocument/2006/relationships/hyperlink" Target="http://amazon.com/Dtmasao-Dowel-Rods-Sticks-Wooden/dp/B0BXT3KM69/ref=sr_1_1_sspa?dib=eyJ2IjoiMSJ9.Ir2Ql0U9oTd5fgizUYXWh60Bk6Kkc7pkkGZe0xmBBQqDor3YaCZQhl3EPSEGUSZ2MyZOmaWuGKwt80UVu7Z4uAxOiELm1TOpZWaUf23_MuJEvqqOusqjj3Y7fBSrcCvM3JT-hTeo-sEfYWslr6y3_cNuym7ILmEFS145wwwltV4UCcOgwG1jAxwVC4p51X_Ic8uyECFEmTkh8KfQTcVh4SBEzgpznU1yXpVT7UcGK6x6tUU2cbEXak0OaQHX0BUAjMPR7rLg-FaaHeYU7kcxK9YGNYRikr2POz4q7cex0pI.k0AMpY18OaTDr3jWf4V3MEha7zC28QlAmKUSgyb_cQM&amp;dib_tag=se&amp;keywords=wooden+dowels+1%2F4+inch&amp;qid=1782617997&amp;sr=8-1-spons&amp;sp_csd=d2lkZ2V0TmFtZT1zcF9hdGY&amp;psc=1" TargetMode="External"/><Relationship Id="rId13" Type="http://schemas.openxmlformats.org/officeDocument/2006/relationships/hyperlink" Target="https://www.amazon.com/Precision-Screwdriver-Magnetic-Electronic-Computer/dp/B0CCTNX9GY/ref=sr_1_2?crid=23MAVZZ1LZCYX&amp;dib=eyJ2IjoiMSJ9.T76j0d0EpgoEHFImy1SlCxkccgkTN252hSkrfwIk4Gn07w1bhfExRKe54bi7126fCpgdVIC3V8egG2OtVnGNB_U8zThu9jr9femojeoVEqFy-C9xzS8-s7mUcqZnuuuNl3e-8I81mnlaGNj8F6prYhXxh2ZODqO6pxQS7fnilYf5eqaMOKBIz0Wn2e9hm_OW5XQ8P3EUPt3Ol4ViPAAgzOsaNsmPar1p7Ip3gEyaaz7pFeS71WHnyasugY35gm9Dm_0LXD2svgY0o101kRhYlvhhOZKvlNuOpxunuQ7wQOk.MDZl_8Hxhry_TDdGyKvtlyg4SPIVPA0_Rr1Wpeonic4&amp;dib_tag=se&amp;keywords=screwdriver%2Bh2.0%2BH4.0&amp;qid=1782769315&amp;sprefix=screwdriver%2Bh2.0%2Bh4.0%2Caps%2C121&amp;sr=8-2&amp;th=1" TargetMode="External"/><Relationship Id="rId12" Type="http://schemas.openxmlformats.org/officeDocument/2006/relationships/hyperlink" Target="https://tektitebiz.com/product/charge-3b/" TargetMode="External"/><Relationship Id="rId15" Type="http://schemas.openxmlformats.org/officeDocument/2006/relationships/hyperlink" Target="https://www.amazon.com/ANGELSWORD-Stripper-Crimping-Crimper-Multi-Function/dp/B0DYP7CFZZ/ref=sr_1_1_sspa?crid=3LQYNUU4887IM&amp;dib=eyJ2IjoiMSJ9.3s25cFWOlDGBp_Cc5bsnhlITTegEQcX6ntokN9_FZRL3H4kgaoropHkoxMVokNNVPn3u_KfFQ3GHZVdOM8f5iurtBr15IKFnz4yFzIiJjUqfcbVWn7Evw3UDETvAy5uTG_Y_Fchf1SvHIOeh2TSTMkQuaJJiO-aUJPhdtJAokYN7-Nfp02U0CRWZgA6tjf_CV03SMU3_LSPPphLg-a_DjG9lArpKvLiJNKL7vuEPhXon9-qVG5LcUXgvqpaZcJc2nR3MqLdWWBae4HAo4QStVDyL6a7JKBcZw1fpAJuLImM.QOPbPm436RVoGP0SPKyJPxgifv1-je9PEYWlcNZHLxM&amp;dib_tag=se&amp;keywords=crimper&amp;qid=1782791965&amp;sprefix=crimpe%2Caps%2C158&amp;sr=8-1-spons&amp;sp_csd=d2lkZ2V0TmFtZT1zcF9hdGY&amp;psc=1" TargetMode="External"/><Relationship Id="rId14" Type="http://schemas.openxmlformats.org/officeDocument/2006/relationships/hyperlink" Target="https://www.amazon.com/SEEKONE-Dual-Temp-842%E2%84%89%EF%BC%88260%E2%84%83-Protection-Tubing%EF%BC%884-9FT%EF%BC%89/dp/B0DQGPG595/ref=sr_1_19?crid=105X5MSOQ3XAI&amp;dib=eyJ2IjoiMSJ9.nOAOwPg6sN2hVO_W0iItsA4mwy7iCVoi54Td3ofZgSh64Vn9C0t8g5zlmUqkb-BYrzUUTVmF2dzfYBlOLl00GcaijUtT1lC0i1piuGyok9FozqhCS4Y5EPMrVF8gJBnleTQ3GAvYBxK4wZ2_0egBKYNSzmiCsTJqlp-S6WQV9DbZtjkivILAyOl51FJ109F_QfcgQbcc-XQaB5ALk4WnNhPYu_mj_FMoATIGXmI3JgT6CEr4XcfcjSgbJ8txIlrJryKdyE5DhHM9ZQ5vIt9hRxFGn37PktikAS0jnBGhpdM.1a0NpZTDKBh2PMM3le-18wZBTXVXbgF5rr90-pWPQvI&amp;dib_tag=se&amp;keywords=heat%2Bgun&amp;qid=1786829303&amp;sprefix=heat%2Bgun%2Caps%2C157&amp;sr=8-19&amp;th=1" TargetMode="External"/><Relationship Id="rId17" Type="http://schemas.openxmlformats.org/officeDocument/2006/relationships/hyperlink" Target="http://amazon.com/Kingl-Digital-Stopwatch-Timer-Interval/dp/B07RTXYFMN/ref=sr_1_3?crid=2WU3QT7FWQR5T&amp;dib=eyJ2IjoiMSJ9.nhZge-CdSVeEEMUSjCWHNtwqkNbrEAGdvGVcVP6ivwr6wju6k1qJ9D9Vm2us6BQESw9kke-a1hXpUGfoySgnRS_rnzQE2yP72eWRYs86NK7Vltw4okXIrp4Dw1SKC2LaAzfgqiB3fDcZIw4MqVZqk5P-Vwkep4zdYIaohcbdnLTlVgLOvqDIjFnaoJU4gQbbbM5kmxaF-f25dKFt4gy5WE-QMmx-qR26ZdbpeHBF3h4.9DRzOW7L3Yh-wodafFPr9--xVQNH1hJFZkG0hiJB-u4&amp;dib_tag=se&amp;keywords=stopwatch&amp;qid=1782799960&amp;sprefix=stopwatch%2Caps%2C149&amp;sr=8-3" TargetMode="External"/><Relationship Id="rId16" Type="http://schemas.openxmlformats.org/officeDocument/2006/relationships/hyperlink" Target="https://www.amazon.com/OLFA-5009-LB-10B-Snap-Off-Heavy/dp/B000LEAC58/ref=pd_sbs_d_sccl_1_2/147-6584189-1758902?pd_rd_w=7tYLB&amp;content-id=amzn1.sym.aa738fbd-ad05-4d11-aae2-04b598db6305&amp;pf_rd_p=aa738fbd-ad05-4d11-aae2-04b598db6305&amp;pf_rd_r=62ZQBYQ9J5BKVQY06FDN&amp;pd_rd_wg=aqO7x&amp;pd_rd_r=0950df6b-c857-433f-935b-9146af69733a&amp;pd_rd_i=B000LEAC58&amp;psc=1" TargetMode="External"/><Relationship Id="rId19" Type="http://schemas.openxmlformats.org/officeDocument/2006/relationships/hyperlink" Target="https://www.amazon.com/LECPECON-Red-Dot-Tactical-Picatinny/dp/B0F6T88LNP/ref=sr_1_19?dib=eyJ2IjoiMSJ9.ZB6ZzxzPlP_GPZQzwioZ4uwNB_ymZok4jgjS7Bzjv9M8KcE90JqwFu3b-e5GHaezG9-N3OAxoXX69yqVTCFj2Z8H67mSDY-C0NB6cUo6qVYcprzvflmD_2fHGKfKGKxETbzVmn7JEE6GOG02ESv9FKnqx5fJD35q49vWU3ICTHRR8iQVekv_2kKiEu0io23SPtQAfomx_BRHQ5wXRZitrLLNWPiyKnz3UImN8Puek-EVlED2yi6LbKFxCheVS9XVI32VlzNTvw1fLCEiekBi-vn4oynDCG_Bs_ePnR7TX3s.e7RwktmiPJiz7rUdka8ABTRkVOz5CyNF9TTvU3u4WbM&amp;dib_tag=se&amp;keywords=picatinny%2Brail%2Blaser&amp;qid=1782799460&amp;refinements=p_36%3A-2000&amp;rnid=386589011&amp;sr=8-19&amp;th=1" TargetMode="External"/><Relationship Id="rId18" Type="http://schemas.openxmlformats.org/officeDocument/2006/relationships/hyperlink" Target="https://www.amazon.com/Scotch-Magic-Tape-Inch-Count/dp/B01C5IHGJW/ref=sr_1_1?crid=3RPLVEDTPHJU8&amp;dib=eyJ2IjoiMSJ9.n0SOUw_MDrwHrQ8d_x53dH1R_TOI4d9Dm1r5f1vDc0Sp05SBqAx9NX0zrhwNlpE7UCqyO10tzgkPatC8yEusJto0e91-GETQb4jqffq_pVIUUODiPIdJf9z2EWxtkJeGEomH7E3QNxPcvuDLSqnrLfCZfo2ihyXxDgXvhRydLVTHhdlj5T9C7gUuwJWXhc0MwadgYQC5okpuC1xxW1RyBZZqpZFXcVerCeYZG0hgIiU0k8SHeAijBUq0OcHRHv9Mfg2zLANE6ujLQn8uqvEg8hIXew1rPoerKD4cJms2b1s.6RuSG6ajeoEI13iVjvTe10HyU_TCE2VQBNifvWAdeXk&amp;dib_tag=se&amp;keywords=scotch+tape&amp;qid=1782769381&amp;sprefix=scotch+tap%2Caps%2C142&amp;sr=8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35.0"/>
    <col customWidth="1" min="3" max="3" width="12.0"/>
    <col customWidth="1" min="4" max="4" width="12.38"/>
    <col customWidth="1" min="5" max="5" width="15.25"/>
    <col customWidth="1" min="6" max="6" width="52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7</v>
      </c>
    </row>
    <row r="2" ht="22.5" customHeight="1">
      <c r="A2" s="1" t="s">
        <v>8</v>
      </c>
      <c r="B2" s="6" t="s">
        <v>9</v>
      </c>
      <c r="C2" s="5">
        <v>23.56</v>
      </c>
      <c r="D2" s="1">
        <v>1.0</v>
      </c>
      <c r="E2" s="7">
        <f t="shared" ref="E2:E3" si="1">C2</f>
        <v>23.56</v>
      </c>
      <c r="F2" s="3" t="s">
        <v>10</v>
      </c>
    </row>
    <row r="3" ht="22.5" customHeight="1">
      <c r="A3" s="1" t="s">
        <v>12</v>
      </c>
      <c r="B3" s="6" t="s">
        <v>13</v>
      </c>
      <c r="C3" s="5">
        <v>23.56</v>
      </c>
      <c r="D3" s="1">
        <v>1.0</v>
      </c>
      <c r="E3" s="7">
        <f t="shared" si="1"/>
        <v>23.56</v>
      </c>
      <c r="F3" s="3" t="s">
        <v>10</v>
      </c>
    </row>
    <row r="4" ht="22.5" customHeight="1">
      <c r="A4" s="8" t="s">
        <v>14</v>
      </c>
      <c r="B4" s="9" t="s">
        <v>15</v>
      </c>
      <c r="C4" s="10">
        <v>16.99</v>
      </c>
      <c r="D4" s="8">
        <v>1.0</v>
      </c>
      <c r="E4" s="11">
        <f>C4*D4</f>
        <v>16.99</v>
      </c>
      <c r="F4" s="3" t="s">
        <v>10</v>
      </c>
    </row>
    <row r="5" ht="22.5" customHeight="1">
      <c r="A5" s="12" t="s">
        <v>20</v>
      </c>
      <c r="B5" s="13" t="s">
        <v>21</v>
      </c>
      <c r="C5" s="14">
        <v>15.99</v>
      </c>
      <c r="D5" s="12">
        <v>1.0</v>
      </c>
      <c r="E5" s="11">
        <f>C5/50</f>
        <v>0.3198</v>
      </c>
      <c r="F5" s="3" t="s">
        <v>24</v>
      </c>
    </row>
    <row r="6" ht="22.5" customHeight="1">
      <c r="A6" s="1" t="s">
        <v>25</v>
      </c>
      <c r="B6" s="6" t="s">
        <v>27</v>
      </c>
      <c r="C6" s="5">
        <v>8.98</v>
      </c>
      <c r="D6" s="1">
        <v>2.0</v>
      </c>
      <c r="E6" s="7">
        <v>4.49</v>
      </c>
      <c r="F6" s="3" t="s">
        <v>30</v>
      </c>
    </row>
    <row r="7" ht="22.5" customHeight="1">
      <c r="A7" s="1" t="s">
        <v>32</v>
      </c>
      <c r="B7" s="6" t="s">
        <v>33</v>
      </c>
      <c r="C7" s="5">
        <v>12.99</v>
      </c>
      <c r="D7" s="1">
        <v>5.0</v>
      </c>
      <c r="E7" s="7">
        <v>0.65</v>
      </c>
      <c r="F7" s="3" t="s">
        <v>36</v>
      </c>
    </row>
    <row r="8" ht="22.5" customHeight="1">
      <c r="A8" s="1" t="s">
        <v>37</v>
      </c>
      <c r="B8" s="4" t="s">
        <v>38</v>
      </c>
      <c r="C8" s="5">
        <v>39.95</v>
      </c>
      <c r="D8" s="1" t="s">
        <v>41</v>
      </c>
      <c r="E8" s="7">
        <v>0.4</v>
      </c>
      <c r="F8" s="15" t="s">
        <v>42</v>
      </c>
    </row>
    <row r="9" ht="22.5" customHeight="1">
      <c r="A9" s="1" t="s">
        <v>43</v>
      </c>
      <c r="B9" s="4" t="s">
        <v>44</v>
      </c>
      <c r="C9" s="5">
        <v>11.99</v>
      </c>
      <c r="D9" s="1" t="s">
        <v>47</v>
      </c>
      <c r="E9" s="7">
        <v>0.4</v>
      </c>
      <c r="F9" s="3" t="s">
        <v>48</v>
      </c>
    </row>
    <row r="10" ht="22.5" customHeight="1">
      <c r="A10" s="1" t="s">
        <v>49</v>
      </c>
      <c r="B10" s="4" t="s">
        <v>51</v>
      </c>
      <c r="C10" s="5">
        <v>17.09</v>
      </c>
      <c r="D10" s="1" t="s">
        <v>55</v>
      </c>
      <c r="E10" s="7">
        <v>0.2</v>
      </c>
      <c r="F10" s="3" t="s">
        <v>56</v>
      </c>
    </row>
    <row r="11" ht="22.5" customHeight="1">
      <c r="A11" s="1" t="s">
        <v>57</v>
      </c>
      <c r="B11" s="4" t="s">
        <v>58</v>
      </c>
      <c r="C11" s="5">
        <v>101.0</v>
      </c>
      <c r="D11" s="1">
        <v>1.0</v>
      </c>
      <c r="E11" s="7">
        <f>C11/20</f>
        <v>5.05</v>
      </c>
      <c r="F11" s="3" t="s">
        <v>61</v>
      </c>
    </row>
    <row r="12" ht="22.5" customHeight="1">
      <c r="A12" s="1" t="s">
        <v>62</v>
      </c>
      <c r="B12" s="6" t="s">
        <v>17</v>
      </c>
      <c r="C12" s="5">
        <v>0.0</v>
      </c>
      <c r="D12" s="1">
        <v>1.0</v>
      </c>
      <c r="E12" s="7">
        <f>89.99-SUM(E2:E11)+C12</f>
        <v>14.3702</v>
      </c>
      <c r="F12" s="15" t="s">
        <v>65</v>
      </c>
    </row>
    <row r="13" ht="22.5" customHeight="1">
      <c r="A13" s="19"/>
      <c r="B13" s="19"/>
      <c r="C13" s="20">
        <f>SUM(HC_BOM[Unit Cost])</f>
        <v>272.1</v>
      </c>
      <c r="D13" s="21" t="s">
        <v>68</v>
      </c>
      <c r="E13" s="22">
        <f>SUM(HC_BOM[Cost Per Kit])</f>
        <v>89.99</v>
      </c>
      <c r="F13" s="15" t="s">
        <v>71</v>
      </c>
    </row>
    <row r="14">
      <c r="A14" s="23" t="s">
        <v>72</v>
      </c>
      <c r="B14" s="24" t="s">
        <v>73</v>
      </c>
      <c r="C14" s="25"/>
      <c r="D14" s="26"/>
      <c r="E14" s="26"/>
      <c r="F14" s="27"/>
    </row>
    <row r="15">
      <c r="A15" s="28" t="s">
        <v>53</v>
      </c>
      <c r="B15" s="30" t="s">
        <v>54</v>
      </c>
      <c r="C15" s="31"/>
      <c r="F15" s="32"/>
    </row>
    <row r="16">
      <c r="A16" s="28" t="s">
        <v>59</v>
      </c>
      <c r="B16" s="34" t="s">
        <v>60</v>
      </c>
      <c r="C16" s="31"/>
      <c r="F16" s="35"/>
    </row>
    <row r="17">
      <c r="A17" s="28" t="s">
        <v>63</v>
      </c>
      <c r="B17" s="34" t="s">
        <v>64</v>
      </c>
      <c r="C17" s="31"/>
      <c r="F17" s="32"/>
    </row>
    <row r="18">
      <c r="A18" s="28" t="s">
        <v>66</v>
      </c>
      <c r="B18" s="34" t="s">
        <v>67</v>
      </c>
      <c r="C18" s="31"/>
      <c r="F18" s="32"/>
    </row>
    <row r="19">
      <c r="A19" s="28" t="s">
        <v>69</v>
      </c>
      <c r="B19" s="34" t="s">
        <v>70</v>
      </c>
      <c r="C19" s="31"/>
      <c r="F19" s="35"/>
    </row>
    <row r="20">
      <c r="A20" s="40" t="s">
        <v>84</v>
      </c>
      <c r="B20" s="34" t="s">
        <v>46</v>
      </c>
      <c r="C20" s="31"/>
      <c r="F20" s="32"/>
    </row>
    <row r="21">
      <c r="A21" s="41"/>
      <c r="B21" s="34" t="s">
        <v>85</v>
      </c>
      <c r="C21" s="31"/>
      <c r="F21" s="35"/>
    </row>
    <row r="22">
      <c r="A22" s="28" t="s">
        <v>50</v>
      </c>
      <c r="B22" s="34" t="s">
        <v>52</v>
      </c>
      <c r="C22" s="31"/>
      <c r="F22" s="32"/>
    </row>
    <row r="23">
      <c r="A23" s="28" t="s">
        <v>74</v>
      </c>
      <c r="B23" s="34" t="s">
        <v>75</v>
      </c>
      <c r="C23" s="31"/>
      <c r="F23" s="35"/>
    </row>
    <row r="24">
      <c r="A24" s="28" t="s">
        <v>86</v>
      </c>
      <c r="B24" s="42" t="s">
        <v>87</v>
      </c>
      <c r="C24" s="31"/>
      <c r="F24" s="32"/>
    </row>
    <row r="25">
      <c r="A25" s="28" t="s">
        <v>80</v>
      </c>
      <c r="B25" s="43" t="s">
        <v>81</v>
      </c>
      <c r="C25" s="31"/>
      <c r="F25" s="35"/>
    </row>
    <row r="26">
      <c r="A26" s="44" t="s">
        <v>82</v>
      </c>
      <c r="B26" s="27"/>
      <c r="C26" s="31"/>
      <c r="F26" s="32"/>
    </row>
    <row r="27">
      <c r="A27" s="45"/>
      <c r="B27" s="46"/>
      <c r="C27" s="31"/>
      <c r="F27" s="35"/>
    </row>
    <row r="28">
      <c r="A28" s="47" t="s">
        <v>83</v>
      </c>
      <c r="B28" s="38"/>
      <c r="C28" s="31"/>
      <c r="F28" s="32"/>
    </row>
    <row r="29">
      <c r="A29" s="25" t="s">
        <v>88</v>
      </c>
      <c r="B29" s="27"/>
      <c r="C29" s="31"/>
      <c r="F29" s="35"/>
    </row>
    <row r="30">
      <c r="A30" s="48"/>
      <c r="B30" s="46"/>
      <c r="C30" s="31"/>
      <c r="F30" s="32"/>
    </row>
    <row r="31">
      <c r="A31" s="49" t="s">
        <v>89</v>
      </c>
      <c r="B31" s="38"/>
      <c r="C31" s="31"/>
      <c r="F31" s="35"/>
    </row>
    <row r="32">
      <c r="A32" s="50" t="s">
        <v>90</v>
      </c>
      <c r="B32" s="38"/>
      <c r="C32" s="45"/>
      <c r="D32" s="51"/>
      <c r="E32" s="51"/>
      <c r="F32" s="52"/>
    </row>
  </sheetData>
  <mergeCells count="7">
    <mergeCell ref="C14:F32"/>
    <mergeCell ref="A20:A21"/>
    <mergeCell ref="A26:B27"/>
    <mergeCell ref="A28:B28"/>
    <mergeCell ref="A29:B30"/>
    <mergeCell ref="A31:B31"/>
    <mergeCell ref="A32:B32"/>
  </mergeCells>
  <dataValidations>
    <dataValidation type="custom" allowBlank="1" showDropDown="1" sqref="C2:C12 E2:E12">
      <formula1>AND(ISNUMBER(C2),(NOT(OR(NOT(ISERROR(DATEVALUE(C2))), AND(ISNUMBER(C2), LEFT(CELL("format", C2))="D")))))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A28"/>
    <hyperlink r:id="rId23" ref="A31"/>
    <hyperlink r:id="rId24" ref="A32"/>
  </hyperlinks>
  <printOptions gridLines="1" horizontalCentered="1"/>
  <pageMargins bottom="0.75" footer="0.0" header="0.0" left="0.7" right="0.7" top="0.75"/>
  <pageSetup cellComments="atEnd" orientation="landscape" pageOrder="overThenDown"/>
  <drawing r:id="rId25"/>
  <tableParts count="1">
    <tablePart r:id="rId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35.0"/>
    <col customWidth="1" min="3" max="3" width="12.0"/>
    <col customWidth="1" min="4" max="4" width="12.38"/>
    <col customWidth="1" min="5" max="5" width="1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1" t="s">
        <v>5</v>
      </c>
      <c r="B2" s="4" t="s">
        <v>6</v>
      </c>
      <c r="C2" s="5">
        <v>13.99</v>
      </c>
      <c r="D2" s="1">
        <v>1.0</v>
      </c>
      <c r="E2" s="7">
        <f t="shared" ref="E2:E22" si="1">C2*D2</f>
        <v>13.99</v>
      </c>
    </row>
    <row r="3" ht="22.5" customHeight="1">
      <c r="A3" s="1" t="s">
        <v>8</v>
      </c>
      <c r="B3" s="6" t="s">
        <v>11</v>
      </c>
      <c r="C3" s="5">
        <v>13.87</v>
      </c>
      <c r="D3" s="1">
        <v>1.0</v>
      </c>
      <c r="E3" s="7">
        <f t="shared" si="1"/>
        <v>13.87</v>
      </c>
    </row>
    <row r="4" ht="22.5" customHeight="1">
      <c r="A4" s="1" t="s">
        <v>12</v>
      </c>
      <c r="B4" s="6" t="s">
        <v>13</v>
      </c>
      <c r="C4" s="5">
        <v>10.88</v>
      </c>
      <c r="D4" s="1">
        <v>1.0</v>
      </c>
      <c r="E4" s="7">
        <f t="shared" si="1"/>
        <v>10.88</v>
      </c>
    </row>
    <row r="5" ht="22.5" customHeight="1">
      <c r="A5" s="1" t="s">
        <v>16</v>
      </c>
      <c r="B5" s="6" t="s">
        <v>17</v>
      </c>
      <c r="C5" s="5">
        <v>25.0</v>
      </c>
      <c r="D5" s="1">
        <v>1.0</v>
      </c>
      <c r="E5" s="7">
        <f t="shared" si="1"/>
        <v>25</v>
      </c>
    </row>
    <row r="6" ht="22.5" customHeight="1">
      <c r="A6" s="1" t="s">
        <v>18</v>
      </c>
      <c r="B6" s="6" t="s">
        <v>19</v>
      </c>
      <c r="C6" s="5">
        <v>18.87</v>
      </c>
      <c r="D6" s="1">
        <v>1.0</v>
      </c>
      <c r="E6" s="7">
        <f t="shared" si="1"/>
        <v>18.87</v>
      </c>
    </row>
    <row r="7" ht="22.5" customHeight="1">
      <c r="A7" s="1" t="s">
        <v>22</v>
      </c>
      <c r="B7" s="6" t="s">
        <v>23</v>
      </c>
      <c r="C7" s="5">
        <v>6.99</v>
      </c>
      <c r="D7" s="1">
        <v>1.0</v>
      </c>
      <c r="E7" s="7">
        <f t="shared" si="1"/>
        <v>6.99</v>
      </c>
    </row>
    <row r="8" ht="22.5" customHeight="1">
      <c r="A8" s="1" t="s">
        <v>26</v>
      </c>
      <c r="B8" s="4" t="s">
        <v>28</v>
      </c>
      <c r="C8" s="5">
        <v>5.88</v>
      </c>
      <c r="D8" s="1">
        <v>1.0</v>
      </c>
      <c r="E8" s="7">
        <f t="shared" si="1"/>
        <v>5.88</v>
      </c>
    </row>
    <row r="9" ht="22.5" customHeight="1">
      <c r="A9" s="1" t="s">
        <v>29</v>
      </c>
      <c r="B9" s="4" t="s">
        <v>31</v>
      </c>
      <c r="C9" s="5">
        <v>8.99</v>
      </c>
      <c r="D9" s="1">
        <v>1.0</v>
      </c>
      <c r="E9" s="7">
        <f t="shared" si="1"/>
        <v>8.99</v>
      </c>
    </row>
    <row r="10" ht="22.5" customHeight="1">
      <c r="A10" s="1" t="s">
        <v>34</v>
      </c>
      <c r="B10" s="4" t="s">
        <v>35</v>
      </c>
      <c r="C10" s="5">
        <v>8.99</v>
      </c>
      <c r="D10" s="1">
        <v>1.0</v>
      </c>
      <c r="E10" s="7">
        <f t="shared" si="1"/>
        <v>8.99</v>
      </c>
    </row>
    <row r="11" ht="22.5" customHeight="1">
      <c r="A11" s="1" t="s">
        <v>39</v>
      </c>
      <c r="B11" s="4" t="s">
        <v>40</v>
      </c>
      <c r="C11" s="5">
        <v>9.99</v>
      </c>
      <c r="D11" s="1">
        <v>1.0</v>
      </c>
      <c r="E11" s="7">
        <f t="shared" si="1"/>
        <v>9.99</v>
      </c>
    </row>
    <row r="12" ht="22.5" customHeight="1">
      <c r="A12" s="1" t="s">
        <v>45</v>
      </c>
      <c r="B12" s="16" t="s">
        <v>46</v>
      </c>
      <c r="C12" s="5">
        <v>39.99</v>
      </c>
      <c r="D12" s="1">
        <v>1.0</v>
      </c>
      <c r="E12" s="7">
        <f t="shared" si="1"/>
        <v>39.99</v>
      </c>
    </row>
    <row r="13" ht="22.5" customHeight="1">
      <c r="A13" s="17" t="s">
        <v>50</v>
      </c>
      <c r="B13" s="16" t="s">
        <v>52</v>
      </c>
      <c r="C13" s="5">
        <v>83.99</v>
      </c>
      <c r="D13" s="1">
        <v>1.0</v>
      </c>
      <c r="E13" s="7">
        <f t="shared" si="1"/>
        <v>83.99</v>
      </c>
    </row>
    <row r="14" ht="22.5" customHeight="1">
      <c r="A14" s="17" t="s">
        <v>53</v>
      </c>
      <c r="B14" s="18" t="s">
        <v>54</v>
      </c>
      <c r="C14" s="5">
        <v>5.99</v>
      </c>
      <c r="D14" s="1">
        <v>1.0</v>
      </c>
      <c r="E14" s="7">
        <f t="shared" si="1"/>
        <v>5.99</v>
      </c>
    </row>
    <row r="15" ht="22.5" customHeight="1">
      <c r="A15" s="17" t="s">
        <v>59</v>
      </c>
      <c r="B15" s="16" t="s">
        <v>60</v>
      </c>
      <c r="C15" s="5">
        <v>11.99</v>
      </c>
      <c r="D15" s="1">
        <v>1.0</v>
      </c>
      <c r="E15" s="7">
        <f t="shared" si="1"/>
        <v>11.99</v>
      </c>
    </row>
    <row r="16" ht="22.5" customHeight="1">
      <c r="A16" s="17" t="s">
        <v>63</v>
      </c>
      <c r="B16" s="16" t="s">
        <v>64</v>
      </c>
      <c r="C16" s="5">
        <v>7.99</v>
      </c>
      <c r="D16" s="1">
        <v>1.0</v>
      </c>
      <c r="E16" s="7">
        <f t="shared" si="1"/>
        <v>7.99</v>
      </c>
    </row>
    <row r="17" ht="22.5" customHeight="1">
      <c r="A17" s="17" t="s">
        <v>66</v>
      </c>
      <c r="B17" s="16" t="s">
        <v>67</v>
      </c>
      <c r="C17" s="5">
        <v>8.99</v>
      </c>
      <c r="D17" s="1">
        <v>1.0</v>
      </c>
      <c r="E17" s="7">
        <f t="shared" si="1"/>
        <v>8.99</v>
      </c>
    </row>
    <row r="18" ht="22.5" customHeight="1">
      <c r="A18" s="17" t="s">
        <v>69</v>
      </c>
      <c r="B18" s="16" t="s">
        <v>70</v>
      </c>
      <c r="C18" s="5">
        <v>5.69</v>
      </c>
      <c r="D18" s="1">
        <v>1.0</v>
      </c>
      <c r="E18" s="7">
        <f t="shared" si="1"/>
        <v>5.69</v>
      </c>
    </row>
    <row r="19" ht="22.5" customHeight="1">
      <c r="A19" s="17" t="s">
        <v>74</v>
      </c>
      <c r="B19" s="16" t="s">
        <v>75</v>
      </c>
      <c r="C19" s="5">
        <v>4.49</v>
      </c>
      <c r="D19" s="1">
        <v>1.0</v>
      </c>
      <c r="E19" s="7">
        <f t="shared" si="1"/>
        <v>4.49</v>
      </c>
    </row>
    <row r="20" ht="22.5" customHeight="1">
      <c r="A20" s="29" t="s">
        <v>76</v>
      </c>
      <c r="B20" s="33" t="s">
        <v>77</v>
      </c>
      <c r="C20" s="5">
        <v>13.98</v>
      </c>
      <c r="D20" s="1">
        <v>1.0</v>
      </c>
      <c r="E20" s="7">
        <f t="shared" si="1"/>
        <v>13.98</v>
      </c>
    </row>
    <row r="21" ht="22.5" customHeight="1">
      <c r="A21" s="17" t="s">
        <v>78</v>
      </c>
      <c r="B21" s="16" t="s">
        <v>79</v>
      </c>
      <c r="C21" s="5">
        <v>3.99</v>
      </c>
      <c r="D21" s="1">
        <v>1.0</v>
      </c>
      <c r="E21" s="7">
        <f t="shared" si="1"/>
        <v>3.99</v>
      </c>
    </row>
    <row r="22" ht="22.5" customHeight="1">
      <c r="A22" s="17" t="s">
        <v>80</v>
      </c>
      <c r="B22" s="17" t="s">
        <v>81</v>
      </c>
      <c r="C22" s="5">
        <v>10.0</v>
      </c>
      <c r="D22" s="1">
        <v>1.0</v>
      </c>
      <c r="E22" s="7">
        <f t="shared" si="1"/>
        <v>10</v>
      </c>
    </row>
    <row r="23">
      <c r="A23" s="36" t="s">
        <v>82</v>
      </c>
      <c r="B23" s="37"/>
      <c r="C23" s="37"/>
      <c r="D23" s="37"/>
      <c r="E23" s="38"/>
    </row>
    <row r="24">
      <c r="A24" s="39" t="s">
        <v>83</v>
      </c>
      <c r="B24" s="37"/>
      <c r="C24" s="37"/>
      <c r="D24" s="37"/>
      <c r="E24" s="38"/>
    </row>
  </sheetData>
  <mergeCells count="2">
    <mergeCell ref="A23:E23"/>
    <mergeCell ref="A24:E24"/>
  </mergeCells>
  <dataValidations>
    <dataValidation type="custom" allowBlank="1" showDropDown="1" sqref="C2:C22 E2:E22">
      <formula1>AND(ISNUMBER(C2),(NOT(OR(NOT(ISERROR(DATEVALUE(C2))), AND(ISNUMBER(C2), LEFT(CELL("format", C2))="D")))))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A24"/>
  </hyperlinks>
  <printOptions gridLines="1" horizontalCentered="1"/>
  <pageMargins bottom="0.75" footer="0.0" header="0.0" left="0.7" right="0.7" top="0.75"/>
  <pageSetup cellComments="atEnd" orientation="landscape" pageOrder="overThenDown"/>
  <drawing r:id="rId22"/>
  <tableParts count="1">
    <tablePart r:id="rId24"/>
  </tableParts>
</worksheet>
</file>