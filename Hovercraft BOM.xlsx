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<sst xmlns="http://schemas.openxmlformats.org/spreadsheetml/2006/main" count="35" uniqueCount="35">
  <si>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this is the wiring I'mma finish tmrw</t>
  </si>
  <si>
    <t>Hovercraft Wiring</t>
  </si>
  <si>
    <t>Part</t>
  </si>
  <si>
    <t>Supplier</t>
  </si>
  <si>
    <t>Quantity</t>
  </si>
  <si>
    <t>Cost</t>
  </si>
  <si>
    <t>Total Cost</t>
  </si>
  <si>
    <t>Ordered</t>
  </si>
  <si>
    <t>Centrifugal Motor</t>
  </si>
  <si>
    <t>https://www.digikey.com/en/products/detail/delta-electronics/BFB1012EH-AF00/2560500</t>
  </si>
  <si>
    <t>PC Fan</t>
  </si>
  <si>
    <t>https://www.amazon.com/gp/product/B07SGWNV5J/ref=ewc_pr_img_1?smid=A1AV40UDU1XL8S&amp;th=1</t>
  </si>
  <si>
    <t>Batteries</t>
  </si>
  <si>
    <t>https://www.amazon.com/gp/product/B0B28RFLNK/ref=ewc_pr_img_3?smid=A2VTLDCJVOID2U&amp;psc=1</t>
  </si>
  <si>
    <t>Screw Terminals</t>
  </si>
  <si>
    <t>https://www.digikey.com/en/products/detail/te-connectivity-amp-connectors/282837-2/2187973?gclsrc=aw.ds&amp;gad_source=1&amp;gad_campaignid=20234014242&amp;gbraid=0AAAAADrbLlia3-CzfFac_3Uyxlo-2lHKn&amp;gclid=Cj0KCQjwoP_FBhDFARIsANPG24PKIoGqHIMsC-meLQyZBdR23z2LiiZXHA1NVhP0Uh2XQdtVcUuzqpMaAs5OEALw_wcB</t>
  </si>
  <si>
    <t>Breadboard</t>
  </si>
  <si>
    <t>https://www.digikey.com/en/products/detail/twin-industries/TW-E40-510/2618532</t>
  </si>
  <si>
    <t>Good blower</t>
  </si>
  <si>
    <t>https://www.digikey.com/en/products/detail/delta-electronics/BFB1012EF-0018H/10244640</t>
  </si>
  <si>
    <t>Switch</t>
  </si>
  <si>
    <t>https://www.digikey.com/en/products/detail/same-sky-formerly-cui-devices-/SLW-1276864-4A-D/21259972?gclsrc=aw.ds&amp;gad_source=1&amp;gad_campaignid=20243136172&amp;gbraid=0AAAAADrbLlhvp3HFgUa1oNubKIe9NqY91&amp;gclid=Cj0KCQjwoP_FBhDFARIsANPG24NFyEyTgEvyVZOJBEIZq-YZfqO5BZw2laipoxP8QDc-orx98sRLWuMaAu-DEALw_wcB</t>
  </si>
  <si>
    <t>Good fan</t>
  </si>
  <si>
    <t>https://www.digikey.com/en/products/detail/delta-electronics/PFC1212DE-F00/1850533?gclsrc=aw.ds&amp;gad_source=1&amp;gad_campaignid=20228387720&amp;gbraid=0AAAAADrbLljKm9kG5FU0zSadxnal--Il9&amp;gclid=Cj0KCQjwoP_FBhDFARIsANPG24P60dSHb19BzrWTp9r-GfyFhPjt13h6-guW9bpxYaovpDnFjz-ehl8aApPiEALw_wcB</t>
  </si>
  <si>
    <t>Battery Connector</t>
  </si>
  <si>
    <t>https://www.amazon.com/Tamiya-Connector-Adapters-Cable-BDHI-46/dp/B07MSCD9KQ/ref=sr_1_1?dib=eyJ2IjoiMSJ9.XB05mKgQqrTNFyhGI7Uf0bahDsonzRB0imcUGh-TfthAZOJOfrrcvRi3R0LEQVbscPvcbeh7fAN0exsdvptXhT4SHZIcOODXk40aLhzSfOtlu7zqkepEzq5JdBFxGbVKvEB4VadyouYbxf313C4Y9NZNox20sDFZxzQBFJxwwWKMyhKAgByt5gq_3aaCZgrDOr9vkU2fnK2j3wBvA1T89d710SQ3dIAdmK6Yv9yV7OXnQCiSabj6p4M9hxKGmwiq8r4j_tWEDsI8NFP2EKDK3HOMZpGDpNujlznNOvtevSk.ZPQd298Iito4sy0t8a4INzYL6s27IIbn6ncYOeFrm-A&amp;dib_tag=se&amp;keywords=male+tamiya&amp;qid=1757466621&amp;sr=8-1</t>
  </si>
  <si>
    <t>PLA (1kg)</t>
  </si>
  <si>
    <t>https://us.elegoo.com/products/pla-filament-1-75mm-colored-1kg</t>
  </si>
  <si>
    <t>Nylon Skirt (Prolly)</t>
  </si>
  <si>
    <t>https://ripstopbytheroll.com/products/1-9-oz-pu-coated-ripstop-nylon?srsltid=AfmBOopTRHTGSaAHtSwj8oLL5nZMLk2xyxa5CzJvXrQAI4ZbTHDjsUO7&amp;utm_source=chatgpt.com&amp;variant=43872833929386</t>
  </si>
  <si>
    <t>Bring your own:</t>
  </si>
  <si>
    <t>Screw/Bit Driver, Super Glue (mb)</t>
  </si>
  <si>
    <t>FALSE</t>
  </si>
  <si>
    <t>(Optional Charger ig)</t>
  </si>
  <si>
    <t>https://www.amazon.com/gp/product/B003MXMJX8/ref=ewc_pr_img_3?smid=A3IAN4VN1Q26HU&amp;psc=1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</si>
</sst>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rgb="FF0000FF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3">
    <border/>
    <border>
      <left style="thin">
        <color rgb="FF8C352D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4" numFmtId="0" xfId="0" applyAlignment="1" applyFont="1">
      <alignment readingOrder="0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5" numFmtId="49" xfId="0" applyAlignment="1" applyBorder="1" applyFill="1" applyFont="1" applyNumberFormat="1">
      <alignment horizontal="right" shrinkToFit="0" vertical="bottom" wrapText="0"/>
    </xf>
    <xf borderId="2" fillId="2" fontId="6" numFmtId="49" xfId="0" applyAlignment="1" applyBorder="1" applyFill="1" applyFont="1" applyNumberFormat="1">
      <alignment vertical="bottom"/>
    </xf>
    <xf borderId="2" fillId="2" fontId="7" numFmtId="49" xfId="0" applyAlignment="1" applyBorder="1" applyFill="1" applyFont="1" applyNumberFormat="1">
      <alignment shrinkToFit="0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EED0CE"/>
          <bgColor rgb="FFEED0CE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2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Sheet1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9:F21" displayName="Table1" name="Table1" id="1">
  <tableColumns count="6">
    <tableColumn totalsRowLabel="Bring your own:" name="Part" id="1"/>
    <tableColumn totalsRowLabel="Screw/Bit Driver, Super Glue (mb)" name="Supplier" id="2"/>
    <tableColumn name="Quantity" id="3"/>
    <tableColumn name="Cost" id="4"/>
    <tableColumn totalsRowFunction="custom" name="Total Cost" id="5"/>
    <tableColumn totalsRowLabel="FALSE" name="Ordered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22:D22" displayName="Table_1" name="Table_1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us.elegoo.com/products/pla-filament-1-75mm-colored-1kg" TargetMode="External"/><Relationship Id="rId10" Type="http://schemas.openxmlformats.org/officeDocument/2006/relationships/hyperlink" Target="https://www.amazon.com/Tamiya-Connector-Adapters-Cable-BDHI-46/dp/B07MSCD9KQ/ref=sr_1_1?dib=eyJ2IjoiMSJ9.XB05mKgQqrTNFyhGI7Uf0bahDsonzRB0imcUGh-TfthAZOJOfrrcvRi3R0LEQVbscPvcbeh7fAN0exsdvptXhT4SHZIcOODXk40aLhzSfOtlu7zqkepEzq5JdBFxGbVKvEB4VadyouYbxf313C4Y9NZNox20sDFZxzQBFJxwwWKMyhKAgByt5gq_3aaCZgrDOr9vkU2fnK2j3wBvA1T89d710SQ3dIAdmK6Yv9yV7OXnQCiSabj6p4M9hxKGmwiq8r4j_tWEDsI8NFP2EKDK3HOMZpGDpNujlznNOvtevSk.ZPQd298Iito4sy0t8a4INzYL6s27IIbn6ncYOeFrm-A&amp;dib_tag=se&amp;keywords=male+tamiya&amp;qid=1757466621&amp;sr=8-1" TargetMode="External"/><Relationship Id="rId13" Type="http://schemas.openxmlformats.org/officeDocument/2006/relationships/hyperlink" Target="https://www.amazon.com/gp/product/B003MXMJX8/ref=ewc_pr_img_3?smid=A3IAN4VN1Q26HU&amp;psc=1" TargetMode="External"/><Relationship Id="rId12" Type="http://schemas.openxmlformats.org/officeDocument/2006/relationships/hyperlink" Target="https://ripstopbytheroll.com/products/1-9-oz-pu-coated-ripstop-nylon?srsltid=AfmBOopTRHTGSaAHtSwj8oLL5nZMLk2xyxa5CzJvXrQAI4ZbTHDjsUO7&amp;utm_source=chatgpt.com&amp;variant=43872833929386" TargetMode="External"/><Relationship Id="rId1" Type="http://schemas.openxmlformats.org/officeDocument/2006/relationships/hyperlink" Target="https://docs.google.com/drawings/d/1NukgkeE9aCLvA9BAdkNa1R8cJKKNXrErK5JLJjEHuLs/edit" TargetMode="External"/><Relationship Id="rId2" Type="http://schemas.openxmlformats.org/officeDocument/2006/relationships/hyperlink" Target="https://www.digikey.com/en/products/detail/delta-electronics/BFB1012EH-AF00/2560500" TargetMode="External"/><Relationship Id="rId3" Type="http://schemas.openxmlformats.org/officeDocument/2006/relationships/hyperlink" Target="https://www.amazon.com/gp/product/B07SGWNV5J/ref=ewc_pr_img_1?smid=A1AV40UDU1XL8S&amp;th=1" TargetMode="External"/><Relationship Id="rId4" Type="http://schemas.openxmlformats.org/officeDocument/2006/relationships/hyperlink" Target="https://www.amazon.com/gp/product/B0B28RFLNK/ref=ewc_pr_img_3?smid=A2VTLDCJVOID2U&amp;psc=1" TargetMode="External"/><Relationship Id="rId9" Type="http://schemas.openxmlformats.org/officeDocument/2006/relationships/hyperlink" Target="https://www.digikey.com/en/products/detail/delta-electronics/PFC1212DE-F00/1850533?gclsrc=aw.ds&amp;gad_source=1&amp;gad_campaignid=20228387720&amp;gbraid=0AAAAADrbLljKm9kG5FU0zSadxnal--Il9&amp;gclid=Cj0KCQjwoP_FBhDFARIsANPG24P60dSHb19BzrWTp9r-GfyFhPjt13h6-guW9bpxYaovpDnFjz-ehl8aApPiEALw_wcB" TargetMode="External"/><Relationship Id="rId14" Type="http://schemas.openxmlformats.org/officeDocument/2006/relationships/drawing" Target="../drawings/drawing1.xml"/><Relationship Id="rId17" Type="http://schemas.openxmlformats.org/officeDocument/2006/relationships/table" Target="../tables/table1.xml"/><Relationship Id="rId5" Type="http://schemas.openxmlformats.org/officeDocument/2006/relationships/hyperlink" Target="https://www.digikey.com/en/products/detail/te-connectivity-amp-connectors/282837-2/2187973?gclsrc=aw.ds&amp;gad_source=1&amp;gad_campaignid=20234014242&amp;gbraid=0AAAAADrbLlia3-CzfFac_3Uyxlo-2lHKn&amp;gclid=Cj0KCQjwoP_FBhDFARIsANPG24PKIoGqHIMsC-meLQyZBdR23z2LiiZXHA1NVhP0Uh2XQdtVcUuzqpMaAs5OEALw_wcB" TargetMode="External"/><Relationship Id="rId6" Type="http://schemas.openxmlformats.org/officeDocument/2006/relationships/hyperlink" Target="https://www.digikey.com/en/products/detail/twin-industries/TW-E40-510/2618532" TargetMode="External"/><Relationship Id="rId18" Type="http://schemas.openxmlformats.org/officeDocument/2006/relationships/table" Target="../tables/table2.xml"/><Relationship Id="rId7" Type="http://schemas.openxmlformats.org/officeDocument/2006/relationships/hyperlink" Target="https://www.digikey.com/en/products/detail/delta-electronics/BFB1012EF-0018H/10244640" TargetMode="External"/><Relationship Id="rId8" Type="http://schemas.openxmlformats.org/officeDocument/2006/relationships/hyperlink" Target="https://www.digikey.com/en/products/detail/same-sky-formerly-cui-devices-/SLW-1276864-4A-D/21259972?gclsrc=aw.ds&amp;gad_source=1&amp;gad_campaignid=20243136172&amp;gbraid=0AAAAADrbLlhvp3HFgUa1oNubKIe9NqY91&amp;gclid=Cj0KCQjwoP_FBhDFARIsANPG24NFyEyTgEvyVZOJBEIZq-YZfqO5BZw2laipoxP8QDc-orx98sRLWuMaAu-D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54.75"/>
    <col customWidth="1" min="6" max="6" width="26.13"/>
    <col customWidth="1" min="7" max="7" width="29.63"/>
  </cols>
  <sheetData>
    <row r="7">
      <c r="F7" s="1" t="s">
        <v>0</v>
      </c>
      <c r="G7" s="2" t="s">
        <v>1</v>
      </c>
    </row>
    <row r="9" ht="22.5" customHeight="1">
      <c r="A9" s="3" t="s">
        <v>2</v>
      </c>
      <c r="B9" s="3" t="s">
        <v>3</v>
      </c>
      <c r="C9" s="3" t="s">
        <v>4</v>
      </c>
      <c r="D9" s="3" t="s">
        <v>5</v>
      </c>
      <c r="E9" s="3" t="s">
        <v>6</v>
      </c>
      <c r="F9" s="4" t="s">
        <v>7</v>
      </c>
    </row>
    <row r="10" ht="22.5" customHeight="1">
      <c r="A10" s="5" t="s">
        <v>8</v>
      </c>
      <c r="B10" s="6" t="s">
        <v>9</v>
      </c>
      <c r="C10" s="7">
        <v>1.0</v>
      </c>
      <c r="D10" s="8">
        <v>30.22</v>
      </c>
      <c r="E10" s="9">
        <f t="shared" ref="E10:E20" si="1">D10*C10</f>
        <v>30.22</v>
      </c>
      <c r="F10" s="10" t="b">
        <v>0</v>
      </c>
    </row>
    <row r="11" ht="22.5" customHeight="1">
      <c r="A11" s="5" t="s">
        <v>10</v>
      </c>
      <c r="B11" s="6" t="s">
        <v>11</v>
      </c>
      <c r="C11" s="7">
        <v>1.0</v>
      </c>
      <c r="D11" s="8">
        <v>19.99</v>
      </c>
      <c r="E11" s="9">
        <f t="shared" si="1"/>
        <v>19.99</v>
      </c>
      <c r="F11" s="10" t="b">
        <v>0</v>
      </c>
    </row>
    <row r="12" ht="22.5" customHeight="1">
      <c r="A12" s="5" t="s">
        <v>12</v>
      </c>
      <c r="B12" s="6" t="s">
        <v>13</v>
      </c>
      <c r="C12" s="7">
        <v>1.0</v>
      </c>
      <c r="D12" s="8">
        <v>17.98</v>
      </c>
      <c r="E12" s="9">
        <f t="shared" si="1"/>
        <v>17.98</v>
      </c>
      <c r="F12" s="10" t="b">
        <v>0</v>
      </c>
    </row>
    <row r="13" ht="22.5" customHeight="1">
      <c r="A13" s="5" t="s">
        <v>14</v>
      </c>
      <c r="B13" s="6" t="s">
        <v>15</v>
      </c>
      <c r="C13" s="7">
        <v>3.0</v>
      </c>
      <c r="D13" s="8">
        <v>0.74</v>
      </c>
      <c r="E13" s="9">
        <f t="shared" si="1"/>
        <v>2.22</v>
      </c>
      <c r="F13" s="10" t="b">
        <v>0</v>
      </c>
    </row>
    <row r="14" ht="22.5" customHeight="1">
      <c r="A14" s="5" t="s">
        <v>16</v>
      </c>
      <c r="B14" s="6" t="s">
        <v>17</v>
      </c>
      <c r="C14" s="7">
        <v>1.0</v>
      </c>
      <c r="D14" s="8">
        <v>5.99</v>
      </c>
      <c r="E14" s="8">
        <f t="shared" si="1"/>
        <v>5.99</v>
      </c>
      <c r="F14" s="11" t="b">
        <v>0</v>
      </c>
      <c r="H14" s="1" t="s">
        <v>18</v>
      </c>
      <c r="I14" s="12" t="s">
        <v>19</v>
      </c>
    </row>
    <row r="15" ht="22.5" customHeight="1">
      <c r="A15" s="5" t="s">
        <v>20</v>
      </c>
      <c r="B15" s="6" t="s">
        <v>21</v>
      </c>
      <c r="C15" s="7">
        <v>1.0</v>
      </c>
      <c r="D15" s="8">
        <v>0.83</v>
      </c>
      <c r="E15" s="9">
        <f t="shared" si="1"/>
        <v>0.83</v>
      </c>
      <c r="F15" s="10" t="b">
        <v>0</v>
      </c>
      <c r="H15" s="1" t="s">
        <v>22</v>
      </c>
      <c r="I15" s="12" t="s">
        <v>23</v>
      </c>
    </row>
    <row r="16" ht="22.5" customHeight="1">
      <c r="A16" s="5" t="s">
        <v>24</v>
      </c>
      <c r="B16" s="6" t="s">
        <v>25</v>
      </c>
      <c r="C16" s="7">
        <v>1.0</v>
      </c>
      <c r="D16" s="8">
        <v>1.6</v>
      </c>
      <c r="E16" s="9">
        <f t="shared" si="1"/>
        <v>1.6</v>
      </c>
      <c r="F16" s="10" t="b">
        <v>0</v>
      </c>
    </row>
    <row r="17" ht="22.5" customHeight="1">
      <c r="A17" s="5" t="s">
        <v>26</v>
      </c>
      <c r="B17" s="6" t="s">
        <v>27</v>
      </c>
      <c r="C17" s="7">
        <v>1.0</v>
      </c>
      <c r="D17" s="8">
        <v>13.99</v>
      </c>
      <c r="E17" s="9">
        <f t="shared" si="1"/>
        <v>13.99</v>
      </c>
      <c r="F17" s="11" t="b">
        <v>0</v>
      </c>
    </row>
    <row r="18" ht="22.5" customHeight="1">
      <c r="A18" s="5" t="s">
        <v>28</v>
      </c>
      <c r="B18" s="6" t="s">
        <v>29</v>
      </c>
      <c r="C18" s="7">
        <v>1.0</v>
      </c>
      <c r="D18" s="8">
        <v>9.0</v>
      </c>
      <c r="E18" s="9">
        <f t="shared" si="1"/>
        <v>9</v>
      </c>
      <c r="F18" s="10" t="b">
        <v>0</v>
      </c>
    </row>
    <row r="19" ht="22.5" customHeight="1">
      <c r="A19" s="13"/>
      <c r="B19" s="13"/>
      <c r="C19" s="14"/>
      <c r="D19" s="9"/>
      <c r="E19" s="9">
        <f t="shared" si="1"/>
        <v>0</v>
      </c>
      <c r="F19" s="10" t="b">
        <v>0</v>
      </c>
    </row>
    <row r="20" ht="22.5" customHeight="1">
      <c r="A20" s="13"/>
      <c r="B20" s="13"/>
      <c r="C20" s="14"/>
      <c r="D20" s="9"/>
      <c r="E20" s="9">
        <f t="shared" si="1"/>
        <v>0</v>
      </c>
      <c r="F20" s="10" t="b">
        <v>0</v>
      </c>
    </row>
    <row r="21" ht="22.5" customHeight="1">
      <c r="A21" s="15" t="s">
        <v>30</v>
      </c>
      <c r="B21" s="15" t="s">
        <v>31</v>
      </c>
      <c r="C21" s="16"/>
      <c r="D21" s="16"/>
      <c r="E21" s="9">
        <f>SUM(Table1[Total Cost])</f>
        <v>101.82</v>
      </c>
      <c r="F21" s="17" t="s">
        <v>32</v>
      </c>
    </row>
    <row r="22">
      <c r="B22" s="18" t="s">
        <v>33</v>
      </c>
      <c r="C22" s="19" t="s">
        <v>34</v>
      </c>
      <c r="D22" s="20"/>
    </row>
  </sheetData>
  <dataValidations>
    <dataValidation type="custom" allowBlank="1" showDropDown="1" sqref="C10:E20">
      <formula1>AND(ISNUMBER(C10),(NOT(OR(NOT(ISERROR(DATEVALUE(C10))), AND(ISNUMBER(C10), LEFT(CELL("format", C10))="D")))))</formula1>
    </dataValidation>
    <dataValidation allowBlank="1" showDropDown="1" sqref="A10:B20"/>
  </dataValidations>
  <hyperlinks>
    <hyperlink r:id="rId1" ref="G7"/>
    <hyperlink r:id="rId2" ref="B10"/>
    <hyperlink r:id="rId3" ref="B11"/>
    <hyperlink r:id="rId4" ref="B12"/>
    <hyperlink r:id="rId5" ref="B13"/>
    <hyperlink r:id="rId6" ref="B14"/>
    <hyperlink r:id="rId7" ref="I14"/>
    <hyperlink r:id="rId8" ref="B15"/>
    <hyperlink r:id="rId9" ref="I15"/>
    <hyperlink r:id="rId10" ref="B16"/>
    <hyperlink r:id="rId11" ref="B17"/>
    <hyperlink r:id="rId12" ref="B18"/>
    <hyperlink r:id="rId13" ref="C22"/>
  </hyperlinks>
  <drawing r:id="rId14"/>
  <tableParts count="2">
    <tablePart r:id="rId17"/>
    <tablePart r:id="rId18"/>
  </tableParts>
</worksheet>
</file>